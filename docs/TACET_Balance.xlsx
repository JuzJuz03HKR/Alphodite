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me States" sheetId="1" state="visible" r:id="rId1"/>
    <sheet xmlns:r="http://schemas.openxmlformats.org/officeDocument/2006/relationships" name="Entity Tuning" sheetId="2" state="visible" r:id="rId2"/>
    <sheet xmlns:r="http://schemas.openxmlformats.org/officeDocument/2006/relationships" name="Skill Damage" sheetId="3" state="visible" r:id="rId3"/>
    <sheet xmlns:r="http://schemas.openxmlformats.org/officeDocument/2006/relationships" name="Difficulty Curve" sheetId="4" state="visible" r:id="rId4"/>
    <sheet xmlns:r="http://schemas.openxmlformats.org/officeDocument/2006/relationships" name="Economy" sheetId="5" state="visible" r:id="rId5"/>
    <sheet xmlns:r="http://schemas.openxmlformats.org/officeDocument/2006/relationships" name="Sim Results" sheetId="6" state="visible" r:id="rId6"/>
    <sheet xmlns:r="http://schemas.openxmlformats.org/officeDocument/2006/relationships" name="About" sheetId="7" state="visible" r:id="rId7"/>
    <sheet xmlns:r="http://schemas.openxmlformats.org/officeDocument/2006/relationships" name="Turn Battle" sheetId="8" state="visible" r:id="rId8"/>
    <sheet xmlns:r="http://schemas.openxmlformats.org/officeDocument/2006/relationships" name="Turn Enemies" sheetId="9" state="visible" r:id="rId9"/>
    <sheet xmlns:r="http://schemas.openxmlformats.org/officeDocument/2006/relationships" name="Turn Conductors" sheetId="10" state="visible" r:id="rId10"/>
    <sheet xmlns:r="http://schemas.openxmlformats.org/officeDocument/2006/relationships" name="Turn Sim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×0.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Roboto"/>
      <charset val="1"/>
      <family val="0"/>
      <b val="1"/>
      <color rgb="FFFFFFFF"/>
      <sz val="13"/>
    </font>
    <font>
      <name val="Roboto"/>
      <charset val="1"/>
      <family val="0"/>
      <b val="1"/>
      <color rgb="FF1E3989"/>
      <sz val="11"/>
    </font>
    <font>
      <name val="Roboto"/>
      <charset val="1"/>
      <family val="0"/>
      <b val="1"/>
      <color rgb="FF334154"/>
      <sz val="10"/>
    </font>
    <font>
      <name val="Roboto"/>
      <charset val="1"/>
      <family val="0"/>
      <color rgb="FF1E293A"/>
      <sz val="10"/>
    </font>
    <font>
      <name val="Roboto"/>
      <charset val="1"/>
      <family val="0"/>
      <i val="1"/>
      <color rgb="FF64748B"/>
      <sz val="9"/>
    </font>
    <font>
      <b val="1"/>
    </font>
    <font>
      <name val="Consolas"/>
    </font>
  </fonts>
  <fills count="9">
    <fill>
      <patternFill/>
    </fill>
    <fill>
      <patternFill patternType="gray125"/>
    </fill>
    <fill>
      <patternFill patternType="solid">
        <fgColor rgb="FFF2F2F2"/>
        <bgColor rgb="FFF0F5F8"/>
      </patternFill>
    </fill>
    <fill>
      <patternFill patternType="solid">
        <fgColor rgb="FF1E3989"/>
        <bgColor rgb="FF003366"/>
      </patternFill>
    </fill>
    <fill>
      <patternFill patternType="solid">
        <fgColor rgb="FFDFE7FF"/>
        <bgColor rgb="FFE1E8EF"/>
      </patternFill>
    </fill>
    <fill>
      <patternFill patternType="solid">
        <fgColor rgb="FFF0F5F8"/>
        <bgColor rgb="FFF2F2F2"/>
      </patternFill>
    </fill>
    <fill>
      <patternFill patternType="solid">
        <fgColor rgb="FFFFFFFF"/>
        <bgColor rgb="FFF8F9FB"/>
      </patternFill>
    </fill>
    <fill>
      <patternFill patternType="solid">
        <fgColor rgb="FFF8F9FB"/>
        <bgColor rgb="FFF0F5F8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/>
      <diagonal/>
    </border>
    <border>
      <left/>
      <right style="thin">
        <color rgb="FFE1E8EF"/>
      </right>
      <top style="thin">
        <color rgb="FFE1E8EF"/>
      </top>
      <bottom/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E1E8EF"/>
      </right>
      <top style="thin">
        <color rgb="FFE1E8EF"/>
      </top>
      <bottom style="thin">
        <color rgb="FFE1E8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49" fontId="9" fillId="6" borderId="3" applyAlignment="1" pivotButton="0" quotePrefix="0" xfId="0">
      <alignment horizontal="left" vertical="center"/>
    </xf>
    <xf numFmtId="3" fontId="9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49" fontId="9" fillId="7" borderId="3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2" fontId="9" fillId="6" borderId="2" applyAlignment="1" pivotButton="0" quotePrefix="0" xfId="0">
      <alignment horizontal="right" vertical="center"/>
    </xf>
    <xf numFmtId="2" fontId="9" fillId="7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center" wrapText="1"/>
    </xf>
    <xf numFmtId="49" fontId="9" fillId="6" borderId="2" applyAlignment="1" pivotButton="0" quotePrefix="0" xfId="0">
      <alignment horizontal="left" vertical="center"/>
    </xf>
    <xf numFmtId="165" fontId="9" fillId="6" borderId="2" applyAlignment="1" pivotButton="0" quotePrefix="0" xfId="0">
      <alignment horizontal="right" vertical="center"/>
    </xf>
    <xf numFmtId="49" fontId="9" fillId="7" borderId="2" applyAlignment="1" pivotButton="0" quotePrefix="0" xfId="0">
      <alignment horizontal="left" vertical="center"/>
    </xf>
    <xf numFmtId="165" fontId="9" fillId="7" borderId="2" applyAlignment="1" pivotButton="0" quotePrefix="0" xfId="0">
      <alignment horizontal="right" vertical="center"/>
    </xf>
    <xf numFmtId="164" fontId="9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9" fontId="9" fillId="7" borderId="2" applyAlignment="1" pivotButton="0" quotePrefix="0" xfId="0">
      <alignment horizontal="right" vertical="center"/>
    </xf>
    <xf numFmtId="9" fontId="9" fillId="6" borderId="2" applyAlignment="1" pivotButton="0" quotePrefix="0" xfId="0">
      <alignment horizontal="right" vertical="center"/>
    </xf>
    <xf numFmtId="3" fontId="9" fillId="6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8" fillId="5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49" fontId="9" fillId="6" borderId="3" applyAlignment="1" pivotButton="0" quotePrefix="0" xfId="0">
      <alignment horizontal="left" vertical="center"/>
    </xf>
    <xf numFmtId="3" fontId="9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49" fontId="9" fillId="7" borderId="3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2" fontId="9" fillId="6" borderId="2" applyAlignment="1" pivotButton="0" quotePrefix="0" xfId="0">
      <alignment horizontal="right" vertical="center"/>
    </xf>
    <xf numFmtId="2" fontId="9" fillId="7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center" wrapText="1"/>
    </xf>
    <xf numFmtId="49" fontId="9" fillId="6" borderId="2" applyAlignment="1" pivotButton="0" quotePrefix="0" xfId="0">
      <alignment horizontal="left" vertical="center"/>
    </xf>
    <xf numFmtId="165" fontId="9" fillId="6" borderId="2" applyAlignment="1" pivotButton="0" quotePrefix="0" xfId="0">
      <alignment horizontal="right" vertical="center"/>
    </xf>
    <xf numFmtId="49" fontId="9" fillId="7" borderId="2" applyAlignment="1" pivotButton="0" quotePrefix="0" xfId="0">
      <alignment horizontal="left" vertical="center"/>
    </xf>
    <xf numFmtId="165" fontId="9" fillId="7" borderId="2" applyAlignment="1" pivotButton="0" quotePrefix="0" xfId="0">
      <alignment horizontal="right" vertical="center"/>
    </xf>
    <xf numFmtId="164" fontId="9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9" fontId="9" fillId="7" borderId="2" applyAlignment="1" pivotButton="0" quotePrefix="0" xfId="0">
      <alignment horizontal="right" vertical="center"/>
    </xf>
    <xf numFmtId="9" fontId="9" fillId="6" borderId="2" applyAlignment="1" pivotButton="0" quotePrefix="0" xfId="0">
      <alignment horizontal="right" vertical="center"/>
    </xf>
    <xf numFmtId="3" fontId="9" fillId="6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center" wrapText="1"/>
    </xf>
    <xf numFmtId="0" fontId="11" fillId="8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B"/>
      <rgbColor rgb="FFDFE7FF"/>
      <rgbColor rgb="FF660066"/>
      <rgbColor rgb="FFFF8080"/>
      <rgbColor rgb="FF0066CC"/>
      <rgbColor rgb="FFCA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8"/>
      <rgbColor rgb="FFE1E8EF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4154"/>
      <rgbColor rgb="FF993300"/>
      <rgbColor rgb="FF993366"/>
      <rgbColor rgb="FF1E3989"/>
      <rgbColor rgb="FF1E29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0" customWidth="1" style="32" min="1" max="1"/>
    <col width="10" customWidth="1" style="32" min="2" max="2"/>
    <col width="26" customWidth="1" style="32" min="3" max="3"/>
    <col width="60" customWidth="1" style="32" min="4" max="4"/>
  </cols>
  <sheetData>
    <row r="1" ht="15" customHeight="1" s="33">
      <c r="A1" s="34" t="inlineStr">
        <is>
          <t>Parameter</t>
        </is>
      </c>
      <c r="B1" s="34" t="inlineStr">
        <is>
          <t>Value</t>
        </is>
      </c>
      <c r="C1" s="34" t="inlineStr">
        <is>
          <t>Code (BattleRules / file)</t>
        </is>
      </c>
      <c r="D1" s="34" t="inlineStr">
        <is>
          <t>Notes</t>
        </is>
      </c>
    </row>
    <row r="2" ht="15" customHeight="1" s="33">
      <c r="A2" s="35" t="inlineStr">
        <is>
          <t>Floors per Run</t>
        </is>
      </c>
      <c r="B2" s="36" t="n">
        <v>3</v>
      </c>
      <c r="C2" s="35" t="inlineStr">
        <is>
          <t>FloorsPerRun</t>
        </is>
      </c>
      <c r="D2" s="35" t="inlineStr">
        <is>
          <t>ชนะบอสชั้น 3 = ชนะทั้งรัน</t>
        </is>
      </c>
    </row>
    <row r="3" ht="15" customHeight="1" s="33">
      <c r="A3" s="35" t="inlineStr">
        <is>
          <t>Stages per Floor (min)</t>
        </is>
      </c>
      <c r="B3" s="36" t="n">
        <v>7</v>
      </c>
      <c r="C3" s="35" t="inlineStr">
        <is>
          <t>RunState.StagesThisFloor</t>
        </is>
      </c>
      <c r="D3" s="35" t="inlineStr">
        <is>
          <t>สุ่ม 7–10 ด่านต่อชั้น ด่านสุดท้ายคือบอส</t>
        </is>
      </c>
    </row>
    <row r="4" ht="15" customHeight="1" s="33">
      <c r="A4" s="35" t="inlineStr">
        <is>
          <t>Stages per Floor (max)</t>
        </is>
      </c>
      <c r="B4" s="36" t="n">
        <v>10</v>
      </c>
      <c r="C4" s="35" t="inlineStr">
        <is>
          <t>RunState.StagesThisFloor</t>
        </is>
      </c>
      <c r="D4" s="35" t="n"/>
    </row>
    <row r="5" ht="15" customHeight="1" s="33">
      <c r="A5" s="35" t="inlineStr">
        <is>
          <t>Rounds per Duel</t>
        </is>
      </c>
      <c r="B5" s="36" t="n">
        <v>3</v>
      </c>
      <c r="C5" s="35" t="inlineStr">
        <is>
          <t>MaxRounds</t>
        </is>
      </c>
      <c r="D5" s="35" t="inlineStr">
        <is>
          <t>ครบ 3 รอบ ฝ่ายที่ดันเส้นนำอยู่ชนะ</t>
        </is>
      </c>
    </row>
    <row r="6" ht="15" customHeight="1" s="33">
      <c r="A6" s="35" t="inlineStr">
        <is>
          <t>Beats per Phrase</t>
        </is>
      </c>
      <c r="B6" s="36" t="n">
        <v>8</v>
      </c>
      <c r="C6" s="35" t="inlineStr">
        <is>
          <t>BeatsPerRound</t>
        </is>
      </c>
      <c r="D6" s="35" t="inlineStr">
        <is>
          <t>TACET เล่นท่อนละ 8 บีต (ท่า 4/4 สองห้อง)</t>
        </is>
      </c>
    </row>
    <row r="7" ht="15" customHeight="1" s="33">
      <c r="A7" s="35" t="inlineStr">
        <is>
          <t>Passes in Round 1</t>
        </is>
      </c>
      <c r="B7" s="36" t="n">
        <v>1</v>
      </c>
      <c r="C7" s="35" t="inlineStr">
        <is>
          <t>PassesPerRound[0]</t>
        </is>
      </c>
      <c r="D7" s="35" t="inlineStr">
        <is>
          <t>REPEATS : รอบ 1 เล่นท่อน 1 ครั้ง</t>
        </is>
      </c>
    </row>
    <row r="8" ht="15" customHeight="1" s="33">
      <c r="A8" s="35" t="inlineStr">
        <is>
          <t>Passes in Round 2</t>
        </is>
      </c>
      <c r="B8" s="36" t="n">
        <v>2</v>
      </c>
      <c r="C8" s="35" t="inlineStr">
        <is>
          <t>PassesPerRound[1]</t>
        </is>
      </c>
      <c r="D8" s="35" t="inlineStr">
        <is>
          <t>รอบ 2 เล่นต่อกัน 2 ครั้ง</t>
        </is>
      </c>
    </row>
    <row r="9" ht="15" customHeight="1" s="33">
      <c r="A9" s="35" t="inlineStr">
        <is>
          <t>Passes in Round 3</t>
        </is>
      </c>
      <c r="B9" s="36" t="n">
        <v>3</v>
      </c>
      <c r="C9" s="35" t="inlineStr">
        <is>
          <t>PassesPerRound[2]</t>
        </is>
      </c>
      <c r="D9" s="35" t="inlineStr">
        <is>
          <t>รอบ 3 เล่นต่อกัน 3 ครั้ง</t>
        </is>
      </c>
    </row>
    <row r="10" ht="15" customHeight="1" s="33">
      <c r="A10" s="35" t="inlineStr">
        <is>
          <t>Beats in a Full Duel</t>
        </is>
      </c>
      <c r="B10" s="36">
        <f>B6*(B7+B8+B9)</f>
        <v/>
      </c>
      <c r="C10" s="35" t="inlineStr">
        <is>
          <t>(คำนวณ)</t>
        </is>
      </c>
      <c r="D10" s="35" t="inlineStr">
        <is>
          <t>บีตต่อท่อน × (1 + 2 + 3) ถ้าไม่มีใครชนะก่อน</t>
        </is>
      </c>
    </row>
    <row r="11" ht="15" customHeight="1" s="33">
      <c r="A11" s="35" t="inlineStr">
        <is>
          <t>Line to Win (push)</t>
        </is>
      </c>
      <c r="B11" s="36" t="n">
        <v>100</v>
      </c>
      <c r="C11" s="35" t="inlineStr">
        <is>
          <t>LineLimit</t>
        </is>
      </c>
      <c r="D11" s="35" t="inlineStr">
        <is>
          <t>ดันเส้นถึง +100 ชนะทันที · ถูกดันถึง −100 แพ้</t>
        </is>
      </c>
    </row>
    <row r="12" ht="15" customHeight="1" s="33">
      <c r="A12" s="35" t="inlineStr">
        <is>
          <t>Seats on Stage at Start</t>
        </is>
      </c>
      <c r="B12" s="36" t="n">
        <v>3</v>
      </c>
      <c r="C12" s="35" t="inlineStr">
        <is>
          <t>RunState.Seats</t>
        </is>
      </c>
      <c r="D12" s="35" t="inlineStr">
        <is>
          <t>ซื้อเพิ่มที่ร้านได้ (สูงสุด 9 ที่)</t>
        </is>
      </c>
    </row>
    <row r="13" ht="15" customHeight="1" s="33">
      <c r="A13" s="35" t="inlineStr">
        <is>
          <t>Bench Size</t>
        </is>
      </c>
      <c r="B13" s="36" t="n">
        <v>3</v>
      </c>
      <c r="C13" s="35" t="inlineStr">
        <is>
          <t>BenchSize</t>
        </is>
      </c>
      <c r="D13" s="35" t="inlineStr">
        <is>
          <t>นักดนตรีที่นั่งพักได้ (ไม่ขึ้นเวที)</t>
        </is>
      </c>
    </row>
    <row r="14" ht="15" customHeight="1" s="33">
      <c r="A14" s="35" t="inlineStr">
        <is>
          <t>Recruits at First Floor</t>
        </is>
      </c>
      <c r="B14" s="36" t="n">
        <v>3</v>
      </c>
      <c r="C14" s="35" t="inlineStr">
        <is>
          <t>FirstFloorRecruits</t>
        </is>
      </c>
      <c r="D14" s="35" t="inlineStr">
        <is>
          <t>คนที่ได้ตอนเปิดชั้น 1</t>
        </is>
      </c>
    </row>
    <row r="15" ht="15" customHeight="1" s="33">
      <c r="A15" s="35" t="inlineStr">
        <is>
          <t>Recruits at Later Floors</t>
        </is>
      </c>
      <c r="B15" s="36" t="n">
        <v>1</v>
      </c>
      <c r="C15" s="35" t="inlineStr">
        <is>
          <t>LaterFloorRecruits</t>
        </is>
      </c>
      <c r="D15" s="35" t="n"/>
    </row>
    <row r="16" ht="15" customHeight="1" s="33">
      <c r="A16" s="35" t="inlineStr">
        <is>
          <t>Breath Back After a Win</t>
        </is>
      </c>
      <c r="B16" s="37" t="n">
        <v>0.3</v>
      </c>
      <c r="C16" s="35" t="inlineStr">
        <is>
          <t>RecoverAfterWin</t>
        </is>
      </c>
      <c r="D16" s="35" t="inlineStr">
        <is>
          <t>ได้ลมคืน 30% ของลมสูงสุด</t>
        </is>
      </c>
    </row>
    <row r="17" ht="15" customHeight="1" s="33">
      <c r="A17" s="35" t="inlineStr">
        <is>
          <t>Signature Length (strokes)</t>
        </is>
      </c>
      <c r="B17" s="36" t="n">
        <v>4</v>
      </c>
      <c r="C17" s="35" t="inlineStr">
        <is>
          <t>SignatureStrokes</t>
        </is>
      </c>
      <c r="D17" s="35" t="inlineStr">
        <is>
          <t>SIGNATURE (Space) ทำงาน 4 ตวัด</t>
        </is>
      </c>
    </row>
    <row r="18" ht="15" customHeight="1" s="33">
      <c r="A18" s="35" t="inlineStr">
        <is>
          <t>Round Banner (seconds)</t>
        </is>
      </c>
      <c r="B18" s="38" t="n">
        <v>1.1</v>
      </c>
      <c r="C18" s="35" t="inlineStr">
        <is>
          <t>IntroTime</t>
        </is>
      </c>
      <c r="D18" s="35" t="inlineStr">
        <is>
          <t>ป้าย ROUND ตอนเริ่มรอบ</t>
        </is>
      </c>
    </row>
    <row r="19" ht="15" customHeight="1" s="33">
      <c r="A19" s="35" t="inlineStr">
        <is>
          <t>Round Change Note (seconds)</t>
        </is>
      </c>
      <c r="B19" s="38" t="n">
        <v>2.2</v>
      </c>
      <c r="C19" s="35" t="inlineStr">
        <is>
          <t>IntroNoteTime</t>
        </is>
      </c>
      <c r="D19" s="35" t="inlineStr">
        <is>
          <t>ป้ายบอกสิ่งที่เปลี่ยนในรอบนี้</t>
        </is>
      </c>
    </row>
    <row r="20" ht="15" customHeight="1" s="33">
      <c r="A20" s="35" t="inlineStr">
        <is>
          <t>First Trait Card (seconds)</t>
        </is>
      </c>
      <c r="B20" s="38" t="n">
        <v>3.6</v>
      </c>
      <c r="C20" s="35" t="inlineStr">
        <is>
          <t>TraitIntroTime</t>
        </is>
      </c>
      <c r="D20" s="35" t="inlineStr">
        <is>
          <t>การ์ดอธิบายกลไกศัตรูครั้งแรก</t>
        </is>
      </c>
    </row>
    <row r="21" ht="15" customHeight="1" s="33">
      <c r="A21" s="35" t="inlineStr">
        <is>
          <t>Teach Note (seconds)</t>
        </is>
      </c>
      <c r="B21" s="38" t="n">
        <v>3</v>
      </c>
      <c r="C21" s="35" t="inlineStr">
        <is>
          <t>TeachNoteTime</t>
        </is>
      </c>
      <c r="D21" s="35" t="inlineStr">
        <is>
          <t>ป้ายสอนของใหม่ครั้งแรกในรันจริง</t>
        </is>
      </c>
    </row>
    <row r="22" ht="15" customHeight="1" s="33">
      <c r="A22" s="35" t="inlineStr">
        <is>
          <t>Round End (seconds)</t>
        </is>
      </c>
      <c r="B22" s="38" t="n">
        <v>1.4</v>
      </c>
      <c r="C22" s="35" t="inlineStr">
        <is>
          <t>RoundEndTime</t>
        </is>
      </c>
      <c r="D22" s="35" t="n"/>
    </row>
    <row r="23" ht="15" customHeight="1" s="33">
      <c r="A23" s="35" t="inlineStr">
        <is>
          <t>Signature Cut-in (seconds)</t>
        </is>
      </c>
      <c r="B23" s="38" t="n">
        <v>1</v>
      </c>
      <c r="C23" s="35" t="inlineStr">
        <is>
          <t>CutInTime</t>
        </is>
      </c>
      <c r="D23" s="35" t="inlineStr">
        <is>
          <t>ภาพ cut-in ตอนกด SIGNATURE (นาฬิกาจังหวะหยุด)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8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5390625" defaultRowHeight="15" zeroHeight="0" outlineLevelRow="0"/>
  <cols>
    <col width="26" customWidth="1" style="32" min="1" max="1"/>
    <col width="13" customWidth="1" style="32" min="2" max="2"/>
    <col width="22" customWidth="1" style="32" min="3" max="3"/>
    <col width="12" customWidth="1" style="32" min="4" max="7"/>
    <col width="18" customWidth="1" style="32" min="8" max="8"/>
    <col width="12" customWidth="1" style="32" min="9" max="10"/>
    <col width="24" customWidth="1" style="32" min="11" max="12"/>
    <col width="12" customWidth="1" style="32" min="13" max="13"/>
    <col width="22" customWidth="1" style="32" min="14" max="14"/>
    <col width="6" customWidth="1" style="32" min="15" max="22"/>
  </cols>
  <sheetData>
    <row r="1" ht="30" customHeight="1" s="33">
      <c r="A1" s="39" t="inlineStr">
        <is>
          <t>Entity Tuning  —  TACET 4'33</t>
        </is>
      </c>
    </row>
    <row r="3" ht="21" customHeight="1" s="33">
      <c r="A3" s="40" t="inlineStr">
        <is>
          <t>Player Setting (Conductor Base)</t>
        </is>
      </c>
      <c r="B3" s="41" t="n"/>
      <c r="C3" s="41" t="n"/>
      <c r="D3" s="42" t="n"/>
    </row>
    <row r="4" ht="15" customHeight="1" s="33">
      <c r="A4" s="43" t="inlineStr">
        <is>
          <t>Parameter</t>
        </is>
      </c>
      <c r="B4" s="44" t="inlineStr">
        <is>
          <t>Value</t>
        </is>
      </c>
      <c r="C4" s="44" t="inlineStr">
        <is>
          <t>Code</t>
        </is>
      </c>
      <c r="D4" s="44" t="inlineStr">
        <is>
          <t>Notes</t>
        </is>
      </c>
    </row>
    <row r="5" ht="15" customHeight="1" s="33">
      <c r="A5" s="45" t="inlineStr">
        <is>
          <t>Breath Base</t>
        </is>
      </c>
      <c r="B5" s="46" t="n">
        <v>60</v>
      </c>
      <c r="C5" s="47" t="inlineStr">
        <is>
          <t>StaminaBase</t>
        </is>
      </c>
      <c r="D5" s="47" t="inlineStr">
        <is>
          <t>ลม (เลือดของวง) = ฐาน + 8 × ค่า BREATH บนการ์ด</t>
        </is>
      </c>
    </row>
    <row r="6" ht="15" customHeight="1" s="33">
      <c r="A6" s="48" t="inlineStr">
        <is>
          <t>Breath per Stat Point</t>
        </is>
      </c>
      <c r="B6" s="49" t="n">
        <v>8</v>
      </c>
      <c r="C6" s="50" t="inlineStr">
        <is>
          <t>StaminaPerPoint</t>
        </is>
      </c>
      <c r="D6" s="50" t="n"/>
    </row>
    <row r="7" ht="15" customHeight="1" s="33">
      <c r="A7" s="45" t="inlineStr">
        <is>
          <t>Power Base</t>
        </is>
      </c>
      <c r="B7" s="51" t="n">
        <v>0.8</v>
      </c>
      <c r="C7" s="47" t="inlineStr">
        <is>
          <t>PowerBase</t>
        </is>
      </c>
      <c r="D7" s="47" t="inlineStr">
        <is>
          <t>ตัวคูณแรงทั้งวง = ฐาน + 0.04 × ค่า PUSH</t>
        </is>
      </c>
    </row>
    <row r="8" ht="15" customHeight="1" s="33">
      <c r="A8" s="48" t="inlineStr">
        <is>
          <t>Power per Stat Point</t>
        </is>
      </c>
      <c r="B8" s="52" t="n">
        <v>0.04</v>
      </c>
      <c r="C8" s="50" t="inlineStr">
        <is>
          <t>PowerPerPoint</t>
        </is>
      </c>
      <c r="D8" s="50" t="n"/>
    </row>
    <row r="10" ht="21" customHeight="1" s="33">
      <c r="A10" s="40" t="inlineStr">
        <is>
          <t>Conductors (ผู้เล่นเลือก 1 คน)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2" t="n"/>
    </row>
    <row r="11" ht="33.75" customHeight="1" s="33">
      <c r="A11" s="53" t="inlineStr">
        <is>
          <t>Max Breath / Power × คำนวณจากค่าด้านบน · Recipe = จำนวนโน้ต PERFECT ของแต่ละกลุ่มเครื่องที่ต้องเก็บก่อนกด SIGNATURE · ตัวเลขของ PASSIVE / SIGNATURE อยู่แท็บ Skill Damage</t>
        </is>
      </c>
    </row>
    <row r="12" ht="15" customHeight="1" s="33">
      <c r="A12" s="43" t="inlineStr">
        <is>
          <t>Conductor</t>
        </is>
      </c>
      <c r="B12" s="44" t="inlineStr">
        <is>
          <t>Role</t>
        </is>
      </c>
      <c r="C12" s="44" t="inlineStr">
        <is>
          <t>Based On</t>
        </is>
      </c>
      <c r="D12" s="44" t="inlineStr">
        <is>
          <t>Breath Stat</t>
        </is>
      </c>
      <c r="E12" s="44" t="inlineStr">
        <is>
          <t>Push Stat</t>
        </is>
      </c>
      <c r="F12" s="44" t="inlineStr">
        <is>
          <t>Max Breath</t>
        </is>
      </c>
      <c r="G12" s="44" t="inlineStr">
        <is>
          <t>Power ×</t>
        </is>
      </c>
      <c r="H12" s="44" t="inlineStr">
        <is>
          <t>Recipe STR</t>
        </is>
      </c>
      <c r="I12" s="44" t="inlineStr">
        <is>
          <t>Recipe WND</t>
        </is>
      </c>
      <c r="J12" s="44" t="inlineStr">
        <is>
          <t>Recipe PRC</t>
        </is>
      </c>
      <c r="K12" s="44" t="inlineStr">
        <is>
          <t>Passive</t>
        </is>
      </c>
      <c r="L12" s="44" t="inlineStr">
        <is>
          <t>Signature</t>
        </is>
      </c>
    </row>
    <row r="13" ht="15" customHeight="1" s="33">
      <c r="A13" s="45" t="inlineStr">
        <is>
          <t>THE APPRENTICE</t>
        </is>
      </c>
      <c r="B13" s="54" t="inlineStr">
        <is>
          <t>BALANCED</t>
        </is>
      </c>
      <c r="C13" s="54" t="inlineStr">
        <is>
          <t>ORIGINAL CHARACTER</t>
        </is>
      </c>
      <c r="D13" s="46" t="n">
        <v>5</v>
      </c>
      <c r="E13" s="46" t="n">
        <v>5</v>
      </c>
      <c r="F13" s="46">
        <f>'Entity Tuning'!$B$5+D13*'Entity Tuning'!$B$6</f>
        <v/>
      </c>
      <c r="G13" s="55">
        <f>'Entity Tuning'!$B$7+E13*'Entity Tuning'!$B$8</f>
        <v/>
      </c>
      <c r="H13" s="46" t="n">
        <v>2</v>
      </c>
      <c r="I13" s="46" t="n">
        <v>2</v>
      </c>
      <c r="J13" s="46" t="n">
        <v>2</v>
      </c>
      <c r="K13" s="54" t="inlineStr">
        <is>
          <t>BY THE BOOK</t>
        </is>
      </c>
      <c r="L13" s="54" t="inlineStr">
        <is>
          <t>ABSOLUTE PITCH</t>
        </is>
      </c>
    </row>
    <row r="14" ht="15" customHeight="1" s="33">
      <c r="A14" s="48" t="inlineStr">
        <is>
          <t>THE METRONOME</t>
        </is>
      </c>
      <c r="B14" s="56" t="inlineStr">
        <is>
          <t>ENDURANCE</t>
        </is>
      </c>
      <c r="C14" s="56" t="inlineStr">
        <is>
          <t>J. S. BACH</t>
        </is>
      </c>
      <c r="D14" s="49" t="n">
        <v>5</v>
      </c>
      <c r="E14" s="49" t="n">
        <v>6</v>
      </c>
      <c r="F14" s="49">
        <f>'Entity Tuning'!$B$5+D14*'Entity Tuning'!$B$6</f>
        <v/>
      </c>
      <c r="G14" s="57">
        <f>'Entity Tuning'!$B$7+E14*'Entity Tuning'!$B$8</f>
        <v/>
      </c>
      <c r="H14" s="49" t="n">
        <v>3</v>
      </c>
      <c r="I14" s="49" t="n">
        <v>0</v>
      </c>
      <c r="J14" s="49" t="n">
        <v>3</v>
      </c>
      <c r="K14" s="56" t="inlineStr">
        <is>
          <t>LOCKED TEMPO</t>
        </is>
      </c>
      <c r="L14" s="56" t="inlineStr">
        <is>
          <t>CLOCKWORK</t>
        </is>
      </c>
    </row>
    <row r="15" ht="15" customHeight="1" s="33">
      <c r="A15" s="45" t="inlineStr">
        <is>
          <t>THE INFERNO</t>
        </is>
      </c>
      <c r="B15" s="54" t="inlineStr">
        <is>
          <t>BURST</t>
        </is>
      </c>
      <c r="C15" s="54" t="inlineStr">
        <is>
          <t>HECTOR BERLIOZ</t>
        </is>
      </c>
      <c r="D15" s="46" t="n">
        <v>3</v>
      </c>
      <c r="E15" s="46" t="n">
        <v>7</v>
      </c>
      <c r="F15" s="46">
        <f>'Entity Tuning'!$B$5+D15*'Entity Tuning'!$B$6</f>
        <v/>
      </c>
      <c r="G15" s="55">
        <f>'Entity Tuning'!$B$7+E15*'Entity Tuning'!$B$8</f>
        <v/>
      </c>
      <c r="H15" s="46" t="n">
        <v>2</v>
      </c>
      <c r="I15" s="46" t="n">
        <v>0</v>
      </c>
      <c r="J15" s="46" t="n">
        <v>3</v>
      </c>
      <c r="K15" s="54" t="inlineStr">
        <is>
          <t>RUNAWAY FIRE</t>
        </is>
      </c>
      <c r="L15" s="54" t="inlineStr">
        <is>
          <t>SET ALIGHT</t>
        </is>
      </c>
    </row>
    <row r="16" ht="15" customHeight="1" s="33">
      <c r="A16" s="48" t="inlineStr">
        <is>
          <t>THE UNHEARING</t>
        </is>
      </c>
      <c r="B16" s="56" t="inlineStr">
        <is>
          <t>SCALING</t>
        </is>
      </c>
      <c r="C16" s="56" t="inlineStr">
        <is>
          <t>L. V. BEETHOVEN</t>
        </is>
      </c>
      <c r="D16" s="49" t="n">
        <v>5</v>
      </c>
      <c r="E16" s="49" t="n">
        <v>3</v>
      </c>
      <c r="F16" s="49">
        <f>'Entity Tuning'!$B$5+D16*'Entity Tuning'!$B$6</f>
        <v/>
      </c>
      <c r="G16" s="57">
        <f>'Entity Tuning'!$B$7+E16*'Entity Tuning'!$B$8</f>
        <v/>
      </c>
      <c r="H16" s="49" t="n">
        <v>3</v>
      </c>
      <c r="I16" s="49" t="n">
        <v>3</v>
      </c>
      <c r="J16" s="49" t="n">
        <v>0</v>
      </c>
      <c r="K16" s="56" t="inlineStr">
        <is>
          <t>THE CLOSER THE LOUDER</t>
        </is>
      </c>
      <c r="L16" s="56" t="inlineStr">
        <is>
          <t>DEAF EARS</t>
        </is>
      </c>
    </row>
    <row r="17" ht="15" customHeight="1" s="33">
      <c r="A17" s="45" t="inlineStr">
        <is>
          <t>THE FOLK LEADER</t>
        </is>
      </c>
      <c r="B17" s="54" t="inlineStr">
        <is>
          <t>SUPPORT</t>
        </is>
      </c>
      <c r="C17" s="54" t="inlineStr">
        <is>
          <t>BELA BARTOK</t>
        </is>
      </c>
      <c r="D17" s="46" t="n">
        <v>5</v>
      </c>
      <c r="E17" s="46" t="n">
        <v>5</v>
      </c>
      <c r="F17" s="46">
        <f>'Entity Tuning'!$B$5+D17*'Entity Tuning'!$B$6</f>
        <v/>
      </c>
      <c r="G17" s="55">
        <f>'Entity Tuning'!$B$7+E17*'Entity Tuning'!$B$8</f>
        <v/>
      </c>
      <c r="H17" s="46" t="n">
        <v>3</v>
      </c>
      <c r="I17" s="46" t="n">
        <v>3</v>
      </c>
      <c r="J17" s="46" t="n">
        <v>3</v>
      </c>
      <c r="K17" s="54" t="inlineStr">
        <is>
          <t>EVERY ROAD HOME</t>
        </is>
      </c>
      <c r="L17" s="54" t="inlineStr">
        <is>
          <t>VILLAGE BAND</t>
        </is>
      </c>
    </row>
    <row r="19" ht="21" customHeight="1" s="33">
      <c r="A19" s="40" t="inlineStr">
        <is>
          <t>Band (Musicians)</t>
        </is>
      </c>
      <c r="B19" s="41" t="n"/>
      <c r="C19" s="41" t="n"/>
      <c r="D19" s="41" t="n"/>
      <c r="E19" s="41" t="n"/>
      <c r="F19" s="41" t="n"/>
      <c r="G19" s="41" t="n"/>
      <c r="H19" s="42" t="n"/>
    </row>
    <row r="20" ht="33.75" customHeight="1" s="33">
      <c r="A20" s="53" t="inlineStr">
        <is>
          <t>Power = แรงต่อโน้ตบนการ์ด (ทุกคนบนเวทีเล่นทุกโน้ตที่ตวัดโดน) · Side = ฝั่งที่นั่งในวงจริง = ลูกศร CUE · ตัวเลขของความสามารถอยู่แท็บ Skill Damage</t>
        </is>
      </c>
    </row>
    <row r="21" ht="15" customHeight="1" s="33">
      <c r="A21" s="43" t="inlineStr">
        <is>
          <t>Musician</t>
        </is>
      </c>
      <c r="B21" s="44" t="inlineStr">
        <is>
          <t>Instrument</t>
        </is>
      </c>
      <c r="C21" s="44" t="inlineStr">
        <is>
          <t>Family</t>
        </is>
      </c>
      <c r="D21" s="44" t="inlineStr">
        <is>
          <t>Era</t>
        </is>
      </c>
      <c r="E21" s="44" t="inlineStr">
        <is>
          <t>Side (CUE)</t>
        </is>
      </c>
      <c r="F21" s="44" t="inlineStr">
        <is>
          <t>Power</t>
        </is>
      </c>
      <c r="G21" s="44" t="inlineStr">
        <is>
          <t>Culture</t>
        </is>
      </c>
      <c r="H21" s="44" t="inlineStr">
        <is>
          <t>Trait</t>
        </is>
      </c>
    </row>
    <row r="22" ht="15" customHeight="1" s="33">
      <c r="A22" s="45" t="inlineStr">
        <is>
          <t>ANNA</t>
        </is>
      </c>
      <c r="B22" s="54" t="inlineStr">
        <is>
          <t>VIOLIN</t>
        </is>
      </c>
      <c r="C22" s="54" t="inlineStr">
        <is>
          <t>STRINGS</t>
        </is>
      </c>
      <c r="D22" s="54" t="inlineStr">
        <is>
          <t>CLASSICAL</t>
        </is>
      </c>
      <c r="E22" s="54" t="inlineStr">
        <is>
          <t>LEFT</t>
        </is>
      </c>
      <c r="F22" s="46" t="n">
        <v>5</v>
      </c>
      <c r="G22" s="54" t="inlineStr">
        <is>
          <t>EUROPEAN</t>
        </is>
      </c>
      <c r="H22" s="54" t="inlineStr">
        <is>
          <t>COUNTS ALOUD</t>
        </is>
      </c>
    </row>
    <row r="23" ht="15" customHeight="1" s="33">
      <c r="A23" s="48" t="inlineStr">
        <is>
          <t>KLARA</t>
        </is>
      </c>
      <c r="B23" s="56" t="inlineStr">
        <is>
          <t>FLUTE</t>
        </is>
      </c>
      <c r="C23" s="56" t="inlineStr">
        <is>
          <t>WINDS</t>
        </is>
      </c>
      <c r="D23" s="56" t="inlineStr">
        <is>
          <t>CLASSICAL</t>
        </is>
      </c>
      <c r="E23" s="56" t="inlineStr">
        <is>
          <t>CENTRE</t>
        </is>
      </c>
      <c r="F23" s="49" t="n">
        <v>4</v>
      </c>
      <c r="G23" s="56" t="inlineStr">
        <is>
          <t>EUROPEAN</t>
        </is>
      </c>
      <c r="H23" s="56" t="inlineStr">
        <is>
          <t>THE QUIET PART</t>
        </is>
      </c>
    </row>
    <row r="24" ht="15" customHeight="1" s="33">
      <c r="A24" s="45" t="inlineStr">
        <is>
          <t>OTTO</t>
        </is>
      </c>
      <c r="B24" s="54" t="inlineStr">
        <is>
          <t>TIMPANI</t>
        </is>
      </c>
      <c r="C24" s="54" t="inlineStr">
        <is>
          <t>PERCUSSION</t>
        </is>
      </c>
      <c r="D24" s="54" t="inlineStr">
        <is>
          <t>CLASSICAL</t>
        </is>
      </c>
      <c r="E24" s="54" t="inlineStr">
        <is>
          <t>RIGHT</t>
        </is>
      </c>
      <c r="F24" s="46" t="n">
        <v>6</v>
      </c>
      <c r="G24" s="54" t="inlineStr">
        <is>
          <t>EUROPEAN</t>
        </is>
      </c>
      <c r="H24" s="54" t="inlineStr">
        <is>
          <t>MOMENTUM</t>
        </is>
      </c>
    </row>
    <row r="25" ht="15" customHeight="1" s="33">
      <c r="A25" s="48" t="inlineStr">
        <is>
          <t>MALI</t>
        </is>
      </c>
      <c r="B25" s="56" t="inlineStr">
        <is>
          <t>SO DUANG</t>
        </is>
      </c>
      <c r="C25" s="56" t="inlineStr">
        <is>
          <t>STRINGS</t>
        </is>
      </c>
      <c r="D25" s="56" t="inlineStr">
        <is>
          <t>SIAM</t>
        </is>
      </c>
      <c r="E25" s="56" t="inlineStr">
        <is>
          <t>CENTRE</t>
        </is>
      </c>
      <c r="F25" s="49" t="n">
        <v>5</v>
      </c>
      <c r="G25" s="56" t="inlineStr">
        <is>
          <t>SIAM</t>
        </is>
      </c>
      <c r="H25" s="56" t="inlineStr">
        <is>
          <t>BY EAR</t>
        </is>
      </c>
    </row>
    <row r="26" ht="15" customHeight="1" s="33">
      <c r="A26" s="45" t="inlineStr">
        <is>
          <t>CHAI</t>
        </is>
      </c>
      <c r="B26" s="54" t="inlineStr">
        <is>
          <t>PI NAI</t>
        </is>
      </c>
      <c r="C26" s="54" t="inlineStr">
        <is>
          <t>WINDS</t>
        </is>
      </c>
      <c r="D26" s="54" t="inlineStr">
        <is>
          <t>SIAM</t>
        </is>
      </c>
      <c r="E26" s="54" t="inlineStr">
        <is>
          <t>RIGHT</t>
        </is>
      </c>
      <c r="F26" s="46" t="n">
        <v>4</v>
      </c>
      <c r="G26" s="54" t="inlineStr">
        <is>
          <t>SIAM</t>
        </is>
      </c>
      <c r="H26" s="54" t="inlineStr">
        <is>
          <t>HELD NOTE</t>
        </is>
      </c>
    </row>
    <row r="27" ht="15" customHeight="1" s="33">
      <c r="A27" s="48" t="inlineStr">
        <is>
          <t>NUAN</t>
        </is>
      </c>
      <c r="B27" s="56" t="inlineStr">
        <is>
          <t>RANAT EK</t>
        </is>
      </c>
      <c r="C27" s="56" t="inlineStr">
        <is>
          <t>PERCUSSION</t>
        </is>
      </c>
      <c r="D27" s="56" t="inlineStr">
        <is>
          <t>SIAM</t>
        </is>
      </c>
      <c r="E27" s="56" t="inlineStr">
        <is>
          <t>LEFT</t>
        </is>
      </c>
      <c r="F27" s="49" t="n">
        <v>6</v>
      </c>
      <c r="G27" s="56" t="inlineStr">
        <is>
          <t>SIAM</t>
        </is>
      </c>
      <c r="H27" s="56" t="inlineStr">
        <is>
          <t>ONE STEP BETTER</t>
        </is>
      </c>
    </row>
    <row r="28" ht="15" customHeight="1" s="33">
      <c r="A28" s="45" t="inlineStr">
        <is>
          <t>LUKA</t>
        </is>
      </c>
      <c r="B28" s="54" t="inlineStr">
        <is>
          <t>CELLO</t>
        </is>
      </c>
      <c r="C28" s="54" t="inlineStr">
        <is>
          <t>STRINGS</t>
        </is>
      </c>
      <c r="D28" s="54" t="inlineStr">
        <is>
          <t>ROMANTIC</t>
        </is>
      </c>
      <c r="E28" s="54" t="inlineStr">
        <is>
          <t>RIGHT</t>
        </is>
      </c>
      <c r="F28" s="46" t="n">
        <v>6</v>
      </c>
      <c r="G28" s="54" t="inlineStr">
        <is>
          <t>EUROPEAN</t>
        </is>
      </c>
      <c r="H28" s="54" t="inlineStr">
        <is>
          <t>FOUR BARS STRAIGHT</t>
        </is>
      </c>
    </row>
    <row r="29" ht="15" customHeight="1" s="33">
      <c r="A29" s="48" t="inlineStr">
        <is>
          <t>IRIS</t>
        </is>
      </c>
      <c r="B29" s="56" t="inlineStr">
        <is>
          <t>HORN</t>
        </is>
      </c>
      <c r="C29" s="56" t="inlineStr">
        <is>
          <t>WINDS</t>
        </is>
      </c>
      <c r="D29" s="56" t="inlineStr">
        <is>
          <t>ROMANTIC</t>
        </is>
      </c>
      <c r="E29" s="56" t="inlineStr">
        <is>
          <t>LEFT</t>
        </is>
      </c>
      <c r="F29" s="49" t="n">
        <v>5</v>
      </c>
      <c r="G29" s="56" t="inlineStr">
        <is>
          <t>EUROPEAN</t>
        </is>
      </c>
      <c r="H29" s="56" t="inlineStr">
        <is>
          <t>FASHIONABLY LATE</t>
        </is>
      </c>
    </row>
    <row r="30" ht="15" customHeight="1" s="33">
      <c r="A30" s="45" t="inlineStr">
        <is>
          <t>BORIS</t>
        </is>
      </c>
      <c r="B30" s="54" t="inlineStr">
        <is>
          <t>BASS DRUM</t>
        </is>
      </c>
      <c r="C30" s="54" t="inlineStr">
        <is>
          <t>PERCUSSION</t>
        </is>
      </c>
      <c r="D30" s="54" t="inlineStr">
        <is>
          <t>ROMANTIC</t>
        </is>
      </c>
      <c r="E30" s="54" t="inlineStr">
        <is>
          <t>CENTRE</t>
        </is>
      </c>
      <c r="F30" s="46" t="n">
        <v>7</v>
      </c>
      <c r="G30" s="54" t="inlineStr">
        <is>
          <t>EUROPEAN</t>
        </is>
      </c>
      <c r="H30" s="54" t="inlineStr">
        <is>
          <t>THE WHOLE FLOOR</t>
        </is>
      </c>
    </row>
    <row r="31" ht="15" customHeight="1" s="33">
      <c r="A31" s="48" t="inlineStr">
        <is>
          <t>Average Power (9 คน)</t>
        </is>
      </c>
      <c r="B31" s="56" t="n"/>
      <c r="C31" s="56" t="n"/>
      <c r="D31" s="56" t="n"/>
      <c r="E31" s="56" t="n"/>
      <c r="F31" s="52">
        <f>AVERAGE(F22:F30)</f>
        <v/>
      </c>
      <c r="G31" s="56" t="n"/>
      <c r="H31" s="56" t="n"/>
    </row>
    <row r="33" ht="21" customHeight="1" s="33">
      <c r="A33" s="40" t="inlineStr">
        <is>
          <t>Enemy Scaling</t>
        </is>
      </c>
      <c r="B33" s="41" t="n"/>
      <c r="C33" s="41" t="n"/>
      <c r="D33" s="42" t="n"/>
    </row>
    <row r="34" ht="18.75" customHeight="1" s="33">
      <c r="A34" s="53" t="inlineStr">
        <is>
          <t>แรงโน้ตของศัตรู = แรงฐานต่อโน้ต × แรงตามชั้น × ตัวคูณชนิดศัตรู (BattleState) · โน้ต f ×2 · โน้ต p ×0.5 (แท็บ Skill Damage)</t>
        </is>
      </c>
    </row>
    <row r="35" ht="15" customHeight="1" s="33">
      <c r="A35" s="43" t="inlineStr">
        <is>
          <t>Parameter</t>
        </is>
      </c>
      <c r="B35" s="44" t="inlineStr">
        <is>
          <t>Value</t>
        </is>
      </c>
      <c r="C35" s="44" t="inlineStr">
        <is>
          <t>Code</t>
        </is>
      </c>
      <c r="D35" s="44" t="inlineStr">
        <is>
          <t>Notes</t>
        </is>
      </c>
    </row>
    <row r="36" ht="15" customHeight="1" s="33">
      <c r="A36" s="45" t="inlineStr">
        <is>
          <t>Normal Enemy Scale</t>
        </is>
      </c>
      <c r="B36" s="51" t="n">
        <v>3.4</v>
      </c>
      <c r="C36" s="47" t="inlineStr">
        <is>
          <t>NormalScale</t>
        </is>
      </c>
      <c r="D36" s="47" t="inlineStr">
        <is>
          <t>ศัตรูข้างทาง</t>
        </is>
      </c>
    </row>
    <row r="37" ht="15" customHeight="1" s="33">
      <c r="A37" s="48" t="inlineStr">
        <is>
          <t>Elite Enemy Scale</t>
        </is>
      </c>
      <c r="B37" s="52" t="n">
        <v>2.1</v>
      </c>
      <c r="C37" s="50" t="inlineStr">
        <is>
          <t>EliteScale</t>
        </is>
      </c>
      <c r="D37" s="50" t="n"/>
    </row>
    <row r="38" ht="15" customHeight="1" s="33">
      <c r="A38" s="45" t="inlineStr">
        <is>
          <t>Boss Enemy Scale</t>
        </is>
      </c>
      <c r="B38" s="51" t="n">
        <v>2.7</v>
      </c>
      <c r="C38" s="47" t="inlineStr">
        <is>
          <t>BossScale</t>
        </is>
      </c>
      <c r="D38" s="47" t="n"/>
    </row>
    <row r="40" ht="15" customHeight="1" s="33">
      <c r="A40" s="43" t="inlineStr">
        <is>
          <t>Floor Power</t>
        </is>
      </c>
      <c r="B40" s="44" t="inlineStr">
        <is>
          <t>Floor 1</t>
        </is>
      </c>
      <c r="C40" s="44" t="inlineStr">
        <is>
          <t>Floor 2</t>
        </is>
      </c>
      <c r="D40" s="44" t="inlineStr">
        <is>
          <t>Floor 3</t>
        </is>
      </c>
    </row>
    <row r="41" ht="15" customHeight="1" s="33">
      <c r="A41" s="45" t="inlineStr">
        <is>
          <t>NORMAL</t>
        </is>
      </c>
      <c r="B41" s="51" t="n">
        <v>0.8</v>
      </c>
      <c r="C41" s="51" t="n">
        <v>1.25</v>
      </c>
      <c r="D41" s="51" t="n">
        <v>2.1</v>
      </c>
    </row>
    <row r="42" ht="15" customHeight="1" s="33">
      <c r="A42" s="48" t="inlineStr">
        <is>
          <t>MAESTRO</t>
        </is>
      </c>
      <c r="B42" s="52" t="n">
        <v>1</v>
      </c>
      <c r="C42" s="52" t="n">
        <v>1.65</v>
      </c>
      <c r="D42" s="52" t="n">
        <v>2.4</v>
      </c>
    </row>
    <row r="44" ht="21" customHeight="1" s="33">
      <c r="A44" s="40" t="inlineStr">
        <is>
          <t>Enemy Settings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2" t="n"/>
    </row>
    <row r="45" ht="48.75" customHeight="1" s="33">
      <c r="A45" s="53" t="inlineStr">
        <is>
          <t>B1–B8 (ขวาสุด) = Pattern ต่อบีต (0 = เงียบ) · ศัตรูที่มีเพลงใช้ค่าเฉลี่ยของ Pattern เป็นแรงทุกโน้ต · THE DEVIL'S STRING ไม่มีเพลง เล่นตาม Pattern ทีละบีต ตารางนี้ใช้บีตที่แรงสุด (9) · แรงต่อชั้นปัด .5 ไปเลขคู่แบบเดียวกับเกม (C# Math.Round) · Push to Win = เส้นที่ต้องดันจริงเมื่อเส้นหนัก (HEAVY LINE)</t>
        </is>
      </c>
    </row>
    <row r="46" ht="15" customHeight="1" s="33">
      <c r="A46" s="43" t="inlineStr">
        <is>
          <t>Enemy</t>
        </is>
      </c>
      <c r="B46" s="44" t="inlineStr">
        <is>
          <t>Kind</t>
        </is>
      </c>
      <c r="C46" s="44" t="inlineStr">
        <is>
          <t>Song</t>
        </is>
      </c>
      <c r="D46" s="44" t="inlineStr">
        <is>
          <t>Base Note</t>
        </is>
      </c>
      <c r="E46" s="44" t="inlineStr">
        <is>
          <t>Kind Scale</t>
        </is>
      </c>
      <c r="F46" s="44" t="inlineStr">
        <is>
          <t>NORMAL F1</t>
        </is>
      </c>
      <c r="G46" s="44" t="inlineStr">
        <is>
          <t>NORMAL F2</t>
        </is>
      </c>
      <c r="H46" s="44" t="inlineStr">
        <is>
          <t>NORMAL F3</t>
        </is>
      </c>
      <c r="I46" s="44" t="inlineStr">
        <is>
          <t>MAESTRO F1</t>
        </is>
      </c>
      <c r="J46" s="44" t="inlineStr">
        <is>
          <t>MAESTRO F2</t>
        </is>
      </c>
      <c r="K46" s="44" t="inlineStr">
        <is>
          <t>MAESTRO F3</t>
        </is>
      </c>
      <c r="L46" s="44" t="inlineStr">
        <is>
          <t>Line Weight</t>
        </is>
      </c>
      <c r="M46" s="44" t="inlineStr">
        <is>
          <t>Push to Win</t>
        </is>
      </c>
      <c r="N46" s="44" t="inlineStr">
        <is>
          <t>Trait (from floor)</t>
        </is>
      </c>
      <c r="O46" s="44" t="inlineStr">
        <is>
          <t>B1</t>
        </is>
      </c>
      <c r="P46" s="44" t="inlineStr">
        <is>
          <t>B2</t>
        </is>
      </c>
      <c r="Q46" s="44" t="inlineStr">
        <is>
          <t>B3</t>
        </is>
      </c>
      <c r="R46" s="44" t="inlineStr">
        <is>
          <t>B4</t>
        </is>
      </c>
      <c r="S46" s="44" t="inlineStr">
        <is>
          <t>B5</t>
        </is>
      </c>
      <c r="T46" s="44" t="inlineStr">
        <is>
          <t>B6</t>
        </is>
      </c>
      <c r="U46" s="44" t="inlineStr">
        <is>
          <t>B7</t>
        </is>
      </c>
      <c r="V46" s="44" t="inlineStr">
        <is>
          <t>B8</t>
        </is>
      </c>
    </row>
    <row r="47" ht="15" customHeight="1" s="33">
      <c r="A47" s="45" t="inlineStr">
        <is>
          <t>HUSH</t>
        </is>
      </c>
      <c r="B47" s="54" t="inlineStr">
        <is>
          <t>Normal</t>
        </is>
      </c>
      <c r="C47" s="54" t="inlineStr">
        <is>
          <t>AH, VOUS DIRAI-JE, MAMAN</t>
        </is>
      </c>
      <c r="D47" s="46">
        <f>ROUND(AVERAGEIF(O47:V47,"&gt;0"),0)</f>
        <v/>
      </c>
      <c r="E47" s="51">
        <f>'Entity Tuning'!$B$36</f>
        <v/>
      </c>
      <c r="F47" s="46">
        <f>ROUND(D47*E47*'Entity Tuning'!$B$41,0)-(MOD(D47*E47*'Entity Tuning'!$B$41,2)=0.5)</f>
        <v/>
      </c>
      <c r="G47" s="46">
        <f>ROUND(D47*E47*'Entity Tuning'!$C$41,0)-(MOD(D47*E47*'Entity Tuning'!$C$41,2)=0.5)</f>
        <v/>
      </c>
      <c r="H47" s="46">
        <f>ROUND(D47*E47*'Entity Tuning'!$D$41,0)-(MOD(D47*E47*'Entity Tuning'!$D$41,2)=0.5)</f>
        <v/>
      </c>
      <c r="I47" s="46">
        <f>ROUND(D47*E47*'Entity Tuning'!$B$42,0)-(MOD(D47*E47*'Entity Tuning'!$B$42,2)=0.5)</f>
        <v/>
      </c>
      <c r="J47" s="46">
        <f>ROUND(D47*E47*'Entity Tuning'!$C$42,0)-(MOD(D47*E47*'Entity Tuning'!$C$42,2)=0.5)</f>
        <v/>
      </c>
      <c r="K47" s="46">
        <f>ROUND(D47*E47*'Entity Tuning'!$D$42,0)-(MOD(D47*E47*'Entity Tuning'!$D$42,2)=0.5)</f>
        <v/>
      </c>
      <c r="L47" s="51" t="n">
        <v>1</v>
      </c>
      <c r="M47" s="58">
        <f>'Game States'!$B$11/L47</f>
        <v/>
      </c>
      <c r="N47" s="54" t="inlineStr">
        <is>
          <t>ECHO FADES (2)</t>
        </is>
      </c>
      <c r="O47" s="46" t="n">
        <v>4</v>
      </c>
      <c r="P47" s="46" t="n">
        <v>0</v>
      </c>
      <c r="Q47" s="46" t="n">
        <v>3</v>
      </c>
      <c r="R47" s="46" t="n">
        <v>4</v>
      </c>
      <c r="S47" s="46" t="n">
        <v>0</v>
      </c>
      <c r="T47" s="46" t="n">
        <v>0</v>
      </c>
      <c r="U47" s="46" t="n">
        <v>5</v>
      </c>
      <c r="V47" s="46" t="n">
        <v>0</v>
      </c>
    </row>
    <row r="48" ht="15" customHeight="1" s="33">
      <c r="A48" s="48" t="inlineStr">
        <is>
          <t>DEAD AIR</t>
        </is>
      </c>
      <c r="B48" s="56" t="inlineStr">
        <is>
          <t>Normal</t>
        </is>
      </c>
      <c r="C48" s="56" t="inlineStr">
        <is>
          <t>ODE TO JOY</t>
        </is>
      </c>
      <c r="D48" s="49">
        <f>ROUND(AVERAGEIF(O48:V48,"&gt;0"),0)</f>
        <v/>
      </c>
      <c r="E48" s="52">
        <f>'Entity Tuning'!$B$36</f>
        <v/>
      </c>
      <c r="F48" s="49">
        <f>ROUND(D48*E48*'Entity Tuning'!$B$41,0)-(MOD(D48*E48*'Entity Tuning'!$B$41,2)=0.5)</f>
        <v/>
      </c>
      <c r="G48" s="49">
        <f>ROUND(D48*E48*'Entity Tuning'!$C$41,0)-(MOD(D48*E48*'Entity Tuning'!$C$41,2)=0.5)</f>
        <v/>
      </c>
      <c r="H48" s="49">
        <f>ROUND(D48*E48*'Entity Tuning'!$D$41,0)-(MOD(D48*E48*'Entity Tuning'!$D$41,2)=0.5)</f>
        <v/>
      </c>
      <c r="I48" s="49">
        <f>ROUND(D48*E48*'Entity Tuning'!$B$42,0)-(MOD(D48*E48*'Entity Tuning'!$B$42,2)=0.5)</f>
        <v/>
      </c>
      <c r="J48" s="49">
        <f>ROUND(D48*E48*'Entity Tuning'!$C$42,0)-(MOD(D48*E48*'Entity Tuning'!$C$42,2)=0.5)</f>
        <v/>
      </c>
      <c r="K48" s="49">
        <f>ROUND(D48*E48*'Entity Tuning'!$D$42,0)-(MOD(D48*E48*'Entity Tuning'!$D$42,2)=0.5)</f>
        <v/>
      </c>
      <c r="L48" s="52" t="n">
        <v>1</v>
      </c>
      <c r="M48" s="59">
        <f>'Game States'!$B$11/L48</f>
        <v/>
      </c>
      <c r="N48" s="56" t="inlineStr">
        <is>
          <t>FILLS THE GAPS (2)</t>
        </is>
      </c>
      <c r="O48" s="49" t="n">
        <v>0</v>
      </c>
      <c r="P48" s="49" t="n">
        <v>4</v>
      </c>
      <c r="Q48" s="49" t="n">
        <v>0</v>
      </c>
      <c r="R48" s="49" t="n">
        <v>4</v>
      </c>
      <c r="S48" s="49" t="n">
        <v>0</v>
      </c>
      <c r="T48" s="49" t="n">
        <v>4</v>
      </c>
      <c r="U48" s="49" t="n">
        <v>0</v>
      </c>
      <c r="V48" s="49" t="n">
        <v>5</v>
      </c>
    </row>
    <row r="49" ht="15" customHeight="1" s="33">
      <c r="A49" s="45" t="inlineStr">
        <is>
          <t>THE LULL</t>
        </is>
      </c>
      <c r="B49" s="54" t="inlineStr">
        <is>
          <t>Normal</t>
        </is>
      </c>
      <c r="C49" s="54" t="inlineStr">
        <is>
          <t>AU CLAIR DE LA LUNE</t>
        </is>
      </c>
      <c r="D49" s="46">
        <f>ROUND(AVERAGEIF(O49:V49,"&gt;0"),0)</f>
        <v/>
      </c>
      <c r="E49" s="51">
        <f>'Entity Tuning'!$B$36</f>
        <v/>
      </c>
      <c r="F49" s="46">
        <f>ROUND(D49*E49*'Entity Tuning'!$B$41,0)-(MOD(D49*E49*'Entity Tuning'!$B$41,2)=0.5)</f>
        <v/>
      </c>
      <c r="G49" s="46">
        <f>ROUND(D49*E49*'Entity Tuning'!$C$41,0)-(MOD(D49*E49*'Entity Tuning'!$C$41,2)=0.5)</f>
        <v/>
      </c>
      <c r="H49" s="46">
        <f>ROUND(D49*E49*'Entity Tuning'!$D$41,0)-(MOD(D49*E49*'Entity Tuning'!$D$41,2)=0.5)</f>
        <v/>
      </c>
      <c r="I49" s="46">
        <f>ROUND(D49*E49*'Entity Tuning'!$B$42,0)-(MOD(D49*E49*'Entity Tuning'!$B$42,2)=0.5)</f>
        <v/>
      </c>
      <c r="J49" s="46">
        <f>ROUND(D49*E49*'Entity Tuning'!$C$42,0)-(MOD(D49*E49*'Entity Tuning'!$C$42,2)=0.5)</f>
        <v/>
      </c>
      <c r="K49" s="46">
        <f>ROUND(D49*E49*'Entity Tuning'!$D$42,0)-(MOD(D49*E49*'Entity Tuning'!$D$42,2)=0.5)</f>
        <v/>
      </c>
      <c r="L49" s="51" t="n">
        <v>1</v>
      </c>
      <c r="M49" s="58">
        <f>'Game States'!$B$11/L49</f>
        <v/>
      </c>
      <c r="N49" s="54" t="inlineStr">
        <is>
          <t>LULLABY (2)</t>
        </is>
      </c>
      <c r="O49" s="46" t="n">
        <v>3</v>
      </c>
      <c r="P49" s="46" t="n">
        <v>3</v>
      </c>
      <c r="Q49" s="46" t="n">
        <v>0</v>
      </c>
      <c r="R49" s="46" t="n">
        <v>0</v>
      </c>
      <c r="S49" s="46" t="n">
        <v>7</v>
      </c>
      <c r="T49" s="46" t="n">
        <v>0</v>
      </c>
      <c r="U49" s="46" t="n">
        <v>3</v>
      </c>
      <c r="V49" s="46" t="n">
        <v>3</v>
      </c>
    </row>
    <row r="50" ht="15" customHeight="1" s="33">
      <c r="A50" s="48" t="inlineStr">
        <is>
          <t>STATIC</t>
        </is>
      </c>
      <c r="B50" s="56" t="inlineStr">
        <is>
          <t>Normal</t>
        </is>
      </c>
      <c r="C50" s="56" t="inlineStr">
        <is>
          <t>ODE TO JOY</t>
        </is>
      </c>
      <c r="D50" s="49">
        <f>ROUND(AVERAGEIF(O50:V50,"&gt;0"),0)</f>
        <v/>
      </c>
      <c r="E50" s="52">
        <f>'Entity Tuning'!$B$36</f>
        <v/>
      </c>
      <c r="F50" s="49">
        <f>ROUND(D50*E50*'Entity Tuning'!$B$41,0)-(MOD(D50*E50*'Entity Tuning'!$B$41,2)=0.5)</f>
        <v/>
      </c>
      <c r="G50" s="49">
        <f>ROUND(D50*E50*'Entity Tuning'!$C$41,0)-(MOD(D50*E50*'Entity Tuning'!$C$41,2)=0.5)</f>
        <v/>
      </c>
      <c r="H50" s="49">
        <f>ROUND(D50*E50*'Entity Tuning'!$D$41,0)-(MOD(D50*E50*'Entity Tuning'!$D$41,2)=0.5)</f>
        <v/>
      </c>
      <c r="I50" s="49">
        <f>ROUND(D50*E50*'Entity Tuning'!$B$42,0)-(MOD(D50*E50*'Entity Tuning'!$B$42,2)=0.5)</f>
        <v/>
      </c>
      <c r="J50" s="49">
        <f>ROUND(D50*E50*'Entity Tuning'!$C$42,0)-(MOD(D50*E50*'Entity Tuning'!$C$42,2)=0.5)</f>
        <v/>
      </c>
      <c r="K50" s="49">
        <f>ROUND(D50*E50*'Entity Tuning'!$D$42,0)-(MOD(D50*E50*'Entity Tuning'!$D$42,2)=0.5)</f>
        <v/>
      </c>
      <c r="L50" s="52" t="n">
        <v>1</v>
      </c>
      <c r="M50" s="59">
        <f>'Game States'!$B$11/L50</f>
        <v/>
      </c>
      <c r="N50" s="56" t="inlineStr">
        <is>
          <t>FALSE NOTES (2)</t>
        </is>
      </c>
      <c r="O50" s="49" t="n">
        <v>4</v>
      </c>
      <c r="P50" s="49" t="n">
        <v>0</v>
      </c>
      <c r="Q50" s="49" t="n">
        <v>3</v>
      </c>
      <c r="R50" s="49" t="n">
        <v>0</v>
      </c>
      <c r="S50" s="49" t="n">
        <v>4</v>
      </c>
      <c r="T50" s="49" t="n">
        <v>0</v>
      </c>
      <c r="U50" s="49" t="n">
        <v>3</v>
      </c>
      <c r="V50" s="49" t="n">
        <v>6</v>
      </c>
    </row>
    <row r="51" ht="15" customHeight="1" s="33">
      <c r="A51" s="45" t="inlineStr">
        <is>
          <t>THE MUTE CHOIR</t>
        </is>
      </c>
      <c r="B51" s="54" t="inlineStr">
        <is>
          <t>Elite</t>
        </is>
      </c>
      <c r="C51" s="54" t="inlineStr">
        <is>
          <t>SYMPHONY NO. 5</t>
        </is>
      </c>
      <c r="D51" s="46">
        <f>ROUND(AVERAGEIF(O51:V51,"&gt;0"),0)</f>
        <v/>
      </c>
      <c r="E51" s="51">
        <f>'Entity Tuning'!$B$37</f>
        <v/>
      </c>
      <c r="F51" s="46">
        <f>ROUND(D51*E51*'Entity Tuning'!$B$41,0)-(MOD(D51*E51*'Entity Tuning'!$B$41,2)=0.5)</f>
        <v/>
      </c>
      <c r="G51" s="46">
        <f>ROUND(D51*E51*'Entity Tuning'!$C$41,0)-(MOD(D51*E51*'Entity Tuning'!$C$41,2)=0.5)</f>
        <v/>
      </c>
      <c r="H51" s="46">
        <f>ROUND(D51*E51*'Entity Tuning'!$D$41,0)-(MOD(D51*E51*'Entity Tuning'!$D$41,2)=0.5)</f>
        <v/>
      </c>
      <c r="I51" s="46">
        <f>ROUND(D51*E51*'Entity Tuning'!$B$42,0)-(MOD(D51*E51*'Entity Tuning'!$B$42,2)=0.5)</f>
        <v/>
      </c>
      <c r="J51" s="46">
        <f>ROUND(D51*E51*'Entity Tuning'!$C$42,0)-(MOD(D51*E51*'Entity Tuning'!$C$42,2)=0.5)</f>
        <v/>
      </c>
      <c r="K51" s="46">
        <f>ROUND(D51*E51*'Entity Tuning'!$D$42,0)-(MOD(D51*E51*'Entity Tuning'!$D$42,2)=0.5)</f>
        <v/>
      </c>
      <c r="L51" s="51" t="n">
        <v>0.7</v>
      </c>
      <c r="M51" s="58">
        <f>'Game States'!$B$11/L51</f>
        <v/>
      </c>
      <c r="N51" s="54" t="inlineStr">
        <is>
          <t>SILENT MOUTHS (1)</t>
        </is>
      </c>
      <c r="O51" s="46" t="n">
        <v>4</v>
      </c>
      <c r="P51" s="46" t="n">
        <v>0</v>
      </c>
      <c r="Q51" s="46" t="n">
        <v>5</v>
      </c>
      <c r="R51" s="46" t="n">
        <v>0</v>
      </c>
      <c r="S51" s="46" t="n">
        <v>6</v>
      </c>
      <c r="T51" s="46" t="n">
        <v>0</v>
      </c>
      <c r="U51" s="46" t="n">
        <v>4</v>
      </c>
      <c r="V51" s="46" t="n">
        <v>6</v>
      </c>
    </row>
    <row r="52" ht="15" customHeight="1" s="33">
      <c r="A52" s="48" t="inlineStr">
        <is>
          <t>WHITE NOISE</t>
        </is>
      </c>
      <c r="B52" s="56" t="inlineStr">
        <is>
          <t>Elite</t>
        </is>
      </c>
      <c r="C52" s="56" t="inlineStr">
        <is>
          <t>PRELUDE IN C</t>
        </is>
      </c>
      <c r="D52" s="49">
        <f>ROUND(AVERAGEIF(O52:V52,"&gt;0"),0)</f>
        <v/>
      </c>
      <c r="E52" s="52">
        <f>'Entity Tuning'!$B$37</f>
        <v/>
      </c>
      <c r="F52" s="49">
        <f>ROUND(D52*E52*'Entity Tuning'!$B$41,0)-(MOD(D52*E52*'Entity Tuning'!$B$41,2)=0.5)</f>
        <v/>
      </c>
      <c r="G52" s="49">
        <f>ROUND(D52*E52*'Entity Tuning'!$C$41,0)-(MOD(D52*E52*'Entity Tuning'!$C$41,2)=0.5)</f>
        <v/>
      </c>
      <c r="H52" s="49">
        <f>ROUND(D52*E52*'Entity Tuning'!$D$41,0)-(MOD(D52*E52*'Entity Tuning'!$D$41,2)=0.5)</f>
        <v/>
      </c>
      <c r="I52" s="49">
        <f>ROUND(D52*E52*'Entity Tuning'!$B$42,0)-(MOD(D52*E52*'Entity Tuning'!$B$42,2)=0.5)</f>
        <v/>
      </c>
      <c r="J52" s="49">
        <f>ROUND(D52*E52*'Entity Tuning'!$C$42,0)-(MOD(D52*E52*'Entity Tuning'!$C$42,2)=0.5)</f>
        <v/>
      </c>
      <c r="K52" s="49">
        <f>ROUND(D52*E52*'Entity Tuning'!$D$42,0)-(MOD(D52*E52*'Entity Tuning'!$D$42,2)=0.5)</f>
        <v/>
      </c>
      <c r="L52" s="52" t="n">
        <v>0.7</v>
      </c>
      <c r="M52" s="59">
        <f>'Game States'!$B$11/L52</f>
        <v/>
      </c>
      <c r="N52" s="56" t="inlineStr">
        <is>
          <t>NO REST (1)</t>
        </is>
      </c>
      <c r="O52" s="49" t="n">
        <v>5</v>
      </c>
      <c r="P52" s="49" t="n">
        <v>5</v>
      </c>
      <c r="Q52" s="49" t="n">
        <v>5</v>
      </c>
      <c r="R52" s="49" t="n">
        <v>5</v>
      </c>
      <c r="S52" s="49" t="n">
        <v>5</v>
      </c>
      <c r="T52" s="49" t="n">
        <v>5</v>
      </c>
      <c r="U52" s="49" t="n">
        <v>5</v>
      </c>
      <c r="V52" s="49" t="n">
        <v>5</v>
      </c>
    </row>
    <row r="53" ht="15" customHeight="1" s="33">
      <c r="A53" s="45" t="inlineStr">
        <is>
          <t>REQUIEM</t>
        </is>
      </c>
      <c r="B53" s="54" t="inlineStr">
        <is>
          <t>Boss</t>
        </is>
      </c>
      <c r="C53" s="54" t="inlineStr">
        <is>
          <t>RONDO ALLA TURCA</t>
        </is>
      </c>
      <c r="D53" s="46">
        <f>ROUND(AVERAGEIF(O53:V53,"&gt;0"),0)</f>
        <v/>
      </c>
      <c r="E53" s="51">
        <f>'Entity Tuning'!$B$38</f>
        <v/>
      </c>
      <c r="F53" s="46">
        <f>ROUND(D53*E53*'Entity Tuning'!$B$41,0)-(MOD(D53*E53*'Entity Tuning'!$B$41,2)=0.5)</f>
        <v/>
      </c>
      <c r="G53" s="46">
        <f>ROUND(D53*E53*'Entity Tuning'!$C$41,0)-(MOD(D53*E53*'Entity Tuning'!$C$41,2)=0.5)</f>
        <v/>
      </c>
      <c r="H53" s="46">
        <f>ROUND(D53*E53*'Entity Tuning'!$D$41,0)-(MOD(D53*E53*'Entity Tuning'!$D$41,2)=0.5)</f>
        <v/>
      </c>
      <c r="I53" s="46">
        <f>ROUND(D53*E53*'Entity Tuning'!$B$42,0)-(MOD(D53*E53*'Entity Tuning'!$B$42,2)=0.5)</f>
        <v/>
      </c>
      <c r="J53" s="46">
        <f>ROUND(D53*E53*'Entity Tuning'!$C$42,0)-(MOD(D53*E53*'Entity Tuning'!$C$42,2)=0.5)</f>
        <v/>
      </c>
      <c r="K53" s="46">
        <f>ROUND(D53*E53*'Entity Tuning'!$D$42,0)-(MOD(D53*E53*'Entity Tuning'!$D$42,2)=0.5)</f>
        <v/>
      </c>
      <c r="L53" s="51" t="n">
        <v>0.6</v>
      </c>
      <c r="M53" s="58">
        <f>'Game States'!$B$11/L53</f>
        <v/>
      </c>
      <c r="N53" s="54" t="inlineStr">
        <is>
          <t>UNFINISHED (1)</t>
        </is>
      </c>
      <c r="O53" s="46" t="n">
        <v>6</v>
      </c>
      <c r="P53" s="46" t="n">
        <v>0</v>
      </c>
      <c r="Q53" s="46" t="n">
        <v>4</v>
      </c>
      <c r="R53" s="46" t="n">
        <v>0</v>
      </c>
      <c r="S53" s="46" t="n">
        <v>8</v>
      </c>
      <c r="T53" s="46" t="n">
        <v>0</v>
      </c>
      <c r="U53" s="46" t="n">
        <v>4</v>
      </c>
      <c r="V53" s="46" t="n">
        <v>9</v>
      </c>
    </row>
    <row r="54" ht="15" customHeight="1" s="33">
      <c r="A54" s="48" t="inlineStr">
        <is>
          <t>THE NAMELESS MASTER</t>
        </is>
      </c>
      <c r="B54" s="56" t="inlineStr">
        <is>
          <t>Boss</t>
        </is>
      </c>
      <c r="C54" s="56" t="inlineStr">
        <is>
          <t>EINE KLEINE NACHTMUSIK</t>
        </is>
      </c>
      <c r="D54" s="49">
        <f>ROUND(AVERAGEIF(O54:V54,"&gt;0"),0)</f>
        <v/>
      </c>
      <c r="E54" s="52">
        <f>'Entity Tuning'!$B$38</f>
        <v/>
      </c>
      <c r="F54" s="49">
        <f>ROUND(D54*E54*'Entity Tuning'!$B$41,0)-(MOD(D54*E54*'Entity Tuning'!$B$41,2)=0.5)</f>
        <v/>
      </c>
      <c r="G54" s="49">
        <f>ROUND(D54*E54*'Entity Tuning'!$C$41,0)-(MOD(D54*E54*'Entity Tuning'!$C$41,2)=0.5)</f>
        <v/>
      </c>
      <c r="H54" s="49">
        <f>ROUND(D54*E54*'Entity Tuning'!$D$41,0)-(MOD(D54*E54*'Entity Tuning'!$D$41,2)=0.5)</f>
        <v/>
      </c>
      <c r="I54" s="49">
        <f>ROUND(D54*E54*'Entity Tuning'!$B$42,0)-(MOD(D54*E54*'Entity Tuning'!$B$42,2)=0.5)</f>
        <v/>
      </c>
      <c r="J54" s="49">
        <f>ROUND(D54*E54*'Entity Tuning'!$C$42,0)-(MOD(D54*E54*'Entity Tuning'!$C$42,2)=0.5)</f>
        <v/>
      </c>
      <c r="K54" s="49">
        <f>ROUND(D54*E54*'Entity Tuning'!$D$42,0)-(MOD(D54*E54*'Entity Tuning'!$D$42,2)=0.5)</f>
        <v/>
      </c>
      <c r="L54" s="52" t="n">
        <v>0.6</v>
      </c>
      <c r="M54" s="59">
        <f>'Game States'!$B$11/L54</f>
        <v/>
      </c>
      <c r="N54" s="56" t="inlineStr">
        <is>
          <t>ANSWER BETTER (1)</t>
        </is>
      </c>
      <c r="O54" s="49" t="n">
        <v>3</v>
      </c>
      <c r="P54" s="49" t="n">
        <v>0</v>
      </c>
      <c r="Q54" s="49" t="n">
        <v>3</v>
      </c>
      <c r="R54" s="49" t="n">
        <v>5</v>
      </c>
      <c r="S54" s="49" t="n">
        <v>0</v>
      </c>
      <c r="T54" s="49" t="n">
        <v>3</v>
      </c>
      <c r="U54" s="49" t="n">
        <v>2</v>
      </c>
      <c r="V54" s="49" t="n">
        <v>7</v>
      </c>
    </row>
    <row r="55" ht="15" customHeight="1" s="33">
      <c r="A55" s="45" t="inlineStr">
        <is>
          <t>THE DEVIL'S STRING</t>
        </is>
      </c>
      <c r="B55" s="54" t="inlineStr">
        <is>
          <t>Boss</t>
        </is>
      </c>
      <c r="C55" s="54" t="inlineStr">
        <is>
          <t>(no song yet)</t>
        </is>
      </c>
      <c r="D55" s="46">
        <f>MAX(O55:V55)</f>
        <v/>
      </c>
      <c r="E55" s="51">
        <f>'Entity Tuning'!$B$38</f>
        <v/>
      </c>
      <c r="F55" s="46">
        <f>ROUND(D55*E55*'Entity Tuning'!$B$41,0)-(MOD(D55*E55*'Entity Tuning'!$B$41,2)=0.5)</f>
        <v/>
      </c>
      <c r="G55" s="46">
        <f>ROUND(D55*E55*'Entity Tuning'!$C$41,0)-(MOD(D55*E55*'Entity Tuning'!$C$41,2)=0.5)</f>
        <v/>
      </c>
      <c r="H55" s="46">
        <f>ROUND(D55*E55*'Entity Tuning'!$D$41,0)-(MOD(D55*E55*'Entity Tuning'!$D$41,2)=0.5)</f>
        <v/>
      </c>
      <c r="I55" s="46">
        <f>ROUND(D55*E55*'Entity Tuning'!$B$42,0)-(MOD(D55*E55*'Entity Tuning'!$B$42,2)=0.5)</f>
        <v/>
      </c>
      <c r="J55" s="46">
        <f>ROUND(D55*E55*'Entity Tuning'!$C$42,0)-(MOD(D55*E55*'Entity Tuning'!$C$42,2)=0.5)</f>
        <v/>
      </c>
      <c r="K55" s="46">
        <f>ROUND(D55*E55*'Entity Tuning'!$D$42,0)-(MOD(D55*E55*'Entity Tuning'!$D$42,2)=0.5)</f>
        <v/>
      </c>
      <c r="L55" s="51" t="n">
        <v>0.6</v>
      </c>
      <c r="M55" s="58">
        <f>'Game States'!$B$11/L55</f>
        <v/>
      </c>
      <c r="N55" s="54" t="inlineStr">
        <is>
          <t>THE BARGAIN (1)</t>
        </is>
      </c>
      <c r="O55" s="46" t="n">
        <v>7</v>
      </c>
      <c r="P55" s="46" t="n">
        <v>0</v>
      </c>
      <c r="Q55" s="46" t="n">
        <v>7</v>
      </c>
      <c r="R55" s="46" t="n">
        <v>0</v>
      </c>
      <c r="S55" s="46" t="n">
        <v>0</v>
      </c>
      <c r="T55" s="46" t="n">
        <v>9</v>
      </c>
      <c r="U55" s="46" t="n">
        <v>0</v>
      </c>
      <c r="V55" s="46" t="n">
        <v>9</v>
      </c>
    </row>
    <row r="57" ht="21" customHeight="1" s="33">
      <c r="A57" s="40" t="inlineStr">
        <is>
          <t>Line Setting (Base Setting)</t>
        </is>
      </c>
      <c r="B57" s="41" t="n"/>
      <c r="C57" s="41" t="n"/>
      <c r="D57" s="42" t="n"/>
    </row>
    <row r="58" ht="18.75" customHeight="1" s="33">
      <c r="A58" s="53" t="inlineStr">
        <is>
          <t>เส้นดันระหว่างวงกับ TACET = "เลือดฐาน" ของการดวล</t>
        </is>
      </c>
    </row>
    <row r="59" ht="15" customHeight="1" s="33">
      <c r="A59" s="43" t="inlineStr">
        <is>
          <t>Parameter</t>
        </is>
      </c>
      <c r="B59" s="44" t="inlineStr">
        <is>
          <t>Value</t>
        </is>
      </c>
      <c r="C59" s="44" t="inlineStr">
        <is>
          <t>Code</t>
        </is>
      </c>
      <c r="D59" s="44" t="inlineStr">
        <is>
          <t>Notes</t>
        </is>
      </c>
    </row>
    <row r="60" ht="15" customHeight="1" s="33">
      <c r="A60" s="45" t="inlineStr">
        <is>
          <t>Line Limit</t>
        </is>
      </c>
      <c r="B60" s="46">
        <f>'Game States'!$B$11</f>
        <v/>
      </c>
      <c r="C60" s="47" t="inlineStr">
        <is>
          <t>LineLimit</t>
        </is>
      </c>
      <c r="D60" s="47" t="inlineStr">
        <is>
          <t>ดันถึง +100 ชนะทันที</t>
        </is>
      </c>
    </row>
    <row r="61" ht="15" customHeight="1" s="33">
      <c r="A61" s="48" t="inlineStr">
        <is>
          <t>Push per Power</t>
        </is>
      </c>
      <c r="B61" s="52" t="n">
        <v>1</v>
      </c>
      <c r="C61" s="50" t="inlineStr">
        <is>
          <t>PushPerPower</t>
        </is>
      </c>
      <c r="D61" s="50" t="inlineStr">
        <is>
          <t>ส่วนต่างพลัง 1 แต้มดันเส้น 1</t>
        </is>
      </c>
    </row>
    <row r="62" ht="15" customHeight="1" s="33">
      <c r="A62" s="45" t="inlineStr">
        <is>
          <t>Push Cap (per note)</t>
        </is>
      </c>
      <c r="B62" s="46" t="n">
        <v>8</v>
      </c>
      <c r="C62" s="47" t="inlineStr">
        <is>
          <t>PushCap</t>
        </is>
      </c>
      <c r="D62" s="47" t="inlineStr">
        <is>
          <t>โน้ตเดียวดันได้ไม่เกิน 8 ทั้งสองฝ่าย</t>
        </is>
      </c>
    </row>
    <row r="63" ht="15" customHeight="1" s="33">
      <c r="A63" s="48" t="inlineStr">
        <is>
          <t>Elite Line Weight</t>
        </is>
      </c>
      <c r="B63" s="52" t="n">
        <v>0.7</v>
      </c>
      <c r="C63" s="50" t="inlineStr">
        <is>
          <t>EliteLine</t>
        </is>
      </c>
      <c r="D63" s="50" t="inlineStr">
        <is>
          <t>HEAVY LINE : ดวล Elite ดันได้ 70%</t>
        </is>
      </c>
    </row>
    <row r="64" ht="15" customHeight="1" s="33">
      <c r="A64" s="45" t="inlineStr">
        <is>
          <t>Boss Line Weight</t>
        </is>
      </c>
      <c r="B64" s="51" t="n">
        <v>0.6</v>
      </c>
      <c r="C64" s="47" t="inlineStr">
        <is>
          <t>BossLine</t>
        </is>
      </c>
      <c r="D64" s="47" t="inlineStr">
        <is>
          <t>ดวลบอสดันได้ 60%</t>
        </is>
      </c>
    </row>
    <row r="65" ht="15" customHeight="1" s="33">
      <c r="A65" s="48" t="inlineStr">
        <is>
          <t>Finale Offered From</t>
        </is>
      </c>
      <c r="B65" s="49" t="n">
        <v>80</v>
      </c>
      <c r="C65" s="50" t="inlineStr">
        <is>
          <t>FinaleLine</t>
        </is>
      </c>
      <c r="D65" s="50" t="inlineStr">
        <is>
          <t>เส้น ≥ +80 ตอนจบรอบ เปิด FINALE</t>
        </is>
      </c>
    </row>
    <row r="66" ht="15" customHeight="1" s="33">
      <c r="A66" s="45" t="inlineStr">
        <is>
          <t>Finale Fail Push Back</t>
        </is>
      </c>
      <c r="B66" s="46" t="n">
        <v>12</v>
      </c>
      <c r="C66" s="47" t="inlineStr">
        <is>
          <t>FinaleFailPush</t>
        </is>
      </c>
      <c r="D66" s="47" t="inlineStr">
        <is>
          <t>FINALE พลาด TACET ดันกลับ 12</t>
        </is>
      </c>
    </row>
    <row r="68" ht="21" customHeight="1" s="33">
      <c r="A68" s="40" t="inlineStr">
        <is>
          <t>Combat Accuracy</t>
        </is>
      </c>
      <c r="B68" s="41" t="n"/>
      <c r="C68" s="41" t="n"/>
      <c r="D68" s="41" t="n"/>
      <c r="E68" s="42" t="n"/>
    </row>
    <row r="69" ht="15" customHeight="1" s="33">
      <c r="A69" s="43" t="inlineStr">
        <is>
          <t>Parameter</t>
        </is>
      </c>
      <c r="B69" s="44" t="inlineStr">
        <is>
          <t>NORMAL</t>
        </is>
      </c>
      <c r="C69" s="44" t="inlineStr">
        <is>
          <t>MAESTRO</t>
        </is>
      </c>
      <c r="D69" s="44" t="inlineStr">
        <is>
          <t>Code</t>
        </is>
      </c>
      <c r="E69" s="44" t="inlineStr">
        <is>
          <t>Notes</t>
        </is>
      </c>
    </row>
    <row r="70" ht="15" customHeight="1" s="33">
      <c r="A70" s="45" t="inlineStr">
        <is>
          <t>PERFECT Window (± ms)</t>
        </is>
      </c>
      <c r="B70" s="46" t="n">
        <v>100</v>
      </c>
      <c r="C70" s="46" t="n">
        <v>80</v>
      </c>
      <c r="D70" s="47" t="inlineStr">
        <is>
          <t>PerfectWindow / Maestro…</t>
        </is>
      </c>
      <c r="E70" s="47" t="inlineStr">
        <is>
          <t>ห่างจากบีตไม่เกินนี้ = PERFECT</t>
        </is>
      </c>
    </row>
    <row r="71" ht="15" customHeight="1" s="33">
      <c r="A71" s="48" t="inlineStr">
        <is>
          <t>GOOD Window (± ms)</t>
        </is>
      </c>
      <c r="B71" s="49" t="n">
        <v>220</v>
      </c>
      <c r="C71" s="49" t="n">
        <v>180</v>
      </c>
      <c r="D71" s="50" t="inlineStr">
        <is>
          <t>GoodWindow / Maestro…</t>
        </is>
      </c>
      <c r="E71" s="50" t="n"/>
    </row>
    <row r="72" ht="15" customHeight="1" s="33">
      <c r="A72" s="45" t="inlineStr">
        <is>
          <t>Early Stroke Ignored (ms before)</t>
        </is>
      </c>
      <c r="B72" s="46" t="n">
        <v>240</v>
      </c>
      <c r="C72" s="46" t="n">
        <v>240</v>
      </c>
      <c r="D72" s="47" t="inlineStr">
        <is>
          <t>EarlyTime</t>
        </is>
      </c>
      <c r="E72" s="47" t="inlineStr">
        <is>
          <t>ตวัดเสร็จก่อนบีตเกินนี้ = มือกำลังเตรียม ไม่นับ</t>
        </is>
      </c>
    </row>
    <row r="73" ht="15" customHeight="1" s="33">
      <c r="A73" s="48" t="inlineStr">
        <is>
          <t>Latest Stroke (ms after)</t>
        </is>
      </c>
      <c r="B73" s="49" t="n">
        <v>350</v>
      </c>
      <c r="C73" s="49" t="n">
        <v>350</v>
      </c>
      <c r="D73" s="50" t="inlineStr">
        <is>
          <t>LateTime</t>
        </is>
      </c>
      <c r="E73" s="50" t="n"/>
    </row>
    <row r="74" ht="15" customHeight="1" s="33">
      <c r="A74" s="45" t="inlineStr">
        <is>
          <t>PERFECT Power</t>
        </is>
      </c>
      <c r="B74" s="55" t="n">
        <v>1.3</v>
      </c>
      <c r="C74" s="55" t="n">
        <v>1.3</v>
      </c>
      <c r="D74" s="47" t="inlineStr">
        <is>
          <t>PerfectBonus</t>
        </is>
      </c>
      <c r="E74" s="47" t="inlineStr">
        <is>
          <t>PERFECT คูณแรงทั้งวง</t>
        </is>
      </c>
    </row>
    <row r="75" ht="15" customHeight="1" s="33">
      <c r="A75" s="48" t="inlineStr">
        <is>
          <t>MISS Power</t>
        </is>
      </c>
      <c r="B75" s="57" t="n">
        <v>0.45</v>
      </c>
      <c r="C75" s="57" t="n">
        <v>0.45</v>
      </c>
      <c r="D75" s="50" t="inlineStr">
        <is>
          <t>MissPower</t>
        </is>
      </c>
      <c r="E75" s="50" t="inlineStr">
        <is>
          <t>ตวัดพลาดยังนับ แต่เบาลง</t>
        </is>
      </c>
    </row>
    <row r="76" ht="15" customHeight="1" s="33">
      <c r="A76" s="45" t="inlineStr">
        <is>
          <t>MISS Breath Cost</t>
        </is>
      </c>
      <c r="B76" s="46" t="n">
        <v>4</v>
      </c>
      <c r="C76" s="46" t="n">
        <v>4</v>
      </c>
      <c r="D76" s="47" t="inlineStr">
        <is>
          <t>MissBreath</t>
        </is>
      </c>
      <c r="E76" s="47" t="inlineStr">
        <is>
          <t>MISS เสียลมเพิ่ม</t>
        </is>
      </c>
    </row>
    <row r="77" ht="15" customHeight="1" s="33">
      <c r="A77" s="48" t="inlineStr">
        <is>
          <t>Wrong Size Power</t>
        </is>
      </c>
      <c r="B77" s="60" t="n">
        <v>0.5</v>
      </c>
      <c r="C77" s="60" t="n">
        <v>0.3</v>
      </c>
      <c r="D77" s="50" t="inlineStr">
        <is>
          <t>WrongSizePower / Maestro…</t>
        </is>
      </c>
      <c r="E77" s="50" t="inlineStr">
        <is>
          <t>ตวัดผิดขนาดจากตัวอักษรบนโน้ต (TOO BIG / TOO SMALL)</t>
        </is>
      </c>
    </row>
    <row r="78" ht="15" customHeight="1" s="33">
      <c r="A78" s="45" t="inlineStr">
        <is>
          <t>Stroke : shortest (px)</t>
        </is>
      </c>
      <c r="B78" s="46" t="n">
        <v>34</v>
      </c>
      <c r="C78" s="46" t="n">
        <v>34</v>
      </c>
      <c r="D78" s="47" t="inlineStr">
        <is>
          <t>GestureReader.MinLength</t>
        </is>
      </c>
      <c r="E78" s="47" t="inlineStr">
        <is>
          <t>สั้นกว่านี้ = มือสั่น ไม่นับ</t>
        </is>
      </c>
    </row>
    <row r="79" ht="15" customHeight="1" s="33">
      <c r="A79" s="48" t="inlineStr">
        <is>
          <t>Stroke : middle (mf) from (px)</t>
        </is>
      </c>
      <c r="B79" s="49" t="n">
        <v>100</v>
      </c>
      <c r="C79" s="49" t="n">
        <v>100</v>
      </c>
      <c r="D79" s="50" t="inlineStr">
        <is>
          <t>GestureReader.MiddleLength</t>
        </is>
      </c>
      <c r="E79" s="50" t="inlineStr">
        <is>
          <t>สั้นกว่า = เล็ก (p)</t>
        </is>
      </c>
    </row>
    <row r="80" ht="15" customHeight="1" s="33">
      <c r="A80" s="45" t="inlineStr">
        <is>
          <t>Stroke : big (f) from (px)</t>
        </is>
      </c>
      <c r="B80" s="46" t="n">
        <v>240</v>
      </c>
      <c r="C80" s="46" t="n">
        <v>240</v>
      </c>
      <c r="D80" s="47" t="inlineStr">
        <is>
          <t>GestureReader.BigLength</t>
        </is>
      </c>
      <c r="E80" s="47" t="n"/>
    </row>
    <row r="81" ht="15" customHeight="1" s="33">
      <c r="A81" s="48" t="inlineStr">
        <is>
          <t>Stroke : longest time (s)</t>
        </is>
      </c>
      <c r="B81" s="59" t="n">
        <v>0.6</v>
      </c>
      <c r="C81" s="59" t="n">
        <v>0.6</v>
      </c>
      <c r="D81" s="50" t="inlineStr">
        <is>
          <t>GestureReader.MaxTime</t>
        </is>
      </c>
      <c r="E81" s="50" t="n"/>
    </row>
  </sheetData>
  <mergeCells count="13">
    <mergeCell ref="A10:L10"/>
    <mergeCell ref="A58:D58"/>
    <mergeCell ref="A34:D34"/>
    <mergeCell ref="A11:L11"/>
    <mergeCell ref="A1:V1"/>
    <mergeCell ref="A20:H20"/>
    <mergeCell ref="A3:D3"/>
    <mergeCell ref="A44:V44"/>
    <mergeCell ref="A45:V45"/>
    <mergeCell ref="A68:E68"/>
    <mergeCell ref="A19:H19"/>
    <mergeCell ref="A57:D57"/>
    <mergeCell ref="A33:D3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6" customWidth="1" style="32" min="1" max="1"/>
    <col width="12" customWidth="1" style="32" min="2" max="2"/>
    <col width="20" customWidth="1" style="32" min="3" max="3"/>
    <col width="24" customWidth="1" style="32" min="4" max="4"/>
    <col width="64" customWidth="1" style="32" min="5" max="5"/>
    <col width="12" customWidth="1" style="32" min="6" max="7"/>
  </cols>
  <sheetData>
    <row r="1" ht="21" customHeight="1" s="33">
      <c r="A1" s="40" t="inlineStr">
        <is>
          <t>Duel Multipliers</t>
        </is>
      </c>
      <c r="B1" s="41" t="n"/>
      <c r="C1" s="41" t="n"/>
      <c r="D1" s="41" t="n"/>
      <c r="E1" s="42" t="n"/>
    </row>
    <row r="2" ht="15" customHeight="1" s="33">
      <c r="A2" s="43" t="inlineStr">
        <is>
          <t>Parameter</t>
        </is>
      </c>
      <c r="B2" s="44" t="inlineStr">
        <is>
          <t>Value</t>
        </is>
      </c>
      <c r="C2" s="44" t="inlineStr">
        <is>
          <t>Applies To</t>
        </is>
      </c>
      <c r="D2" s="44" t="inlineStr">
        <is>
          <t>Code</t>
        </is>
      </c>
      <c r="E2" s="44" t="inlineStr">
        <is>
          <t>Notes</t>
        </is>
      </c>
    </row>
    <row r="3" ht="15" customHeight="1" s="33">
      <c r="A3" s="45" t="inlineStr">
        <is>
          <t>CUE (arrow matches baton)</t>
        </is>
      </c>
      <c r="B3" s="55" t="n">
        <v>1.5</v>
      </c>
      <c r="C3" s="47" t="inlineStr">
        <is>
          <t>BAND</t>
        </is>
      </c>
      <c r="D3" s="47" t="inlineStr">
        <is>
          <t>CuePower</t>
        </is>
      </c>
      <c r="E3" s="47" t="inlineStr">
        <is>
          <t>คนที่ลูกศรตรงทิศที่ไม้ตวัด แรง ×1.5</t>
        </is>
      </c>
    </row>
    <row r="4" ht="15" customHeight="1" s="33">
      <c r="A4" s="48" t="inlineStr">
        <is>
          <t>Harmony per Extra Player</t>
        </is>
      </c>
      <c r="B4" s="60" t="n">
        <v>0.15</v>
      </c>
      <c r="C4" s="50" t="inlineStr">
        <is>
          <t>BAND</t>
        </is>
      </c>
      <c r="D4" s="50" t="inlineStr">
        <is>
          <t>HarmonyPerExtra</t>
        </is>
      </c>
      <c r="E4" s="50" t="inlineStr">
        <is>
          <t>เล่นพร้อมกันหลายคน แรงขึ้นคนละ 15%</t>
        </is>
      </c>
    </row>
    <row r="5" ht="15" customHeight="1" s="33">
      <c r="A5" s="45" t="inlineStr">
        <is>
          <t>Harmony Counts Up To (players)</t>
        </is>
      </c>
      <c r="B5" s="46" t="n">
        <v>5</v>
      </c>
      <c r="C5" s="47" t="inlineStr">
        <is>
          <t>BAND</t>
        </is>
      </c>
      <c r="D5" s="47" t="inlineStr">
        <is>
          <t>HarmonyMost</t>
        </is>
      </c>
      <c r="E5" s="47" t="inlineStr">
        <is>
          <t>คนที่ 6 ขึ้นไปเพิ่มพลังแต่ไม่เพิ่มฮาร์โมนี</t>
        </is>
      </c>
    </row>
    <row r="6" ht="15" customHeight="1" s="33">
      <c r="A6" s="48" t="inlineStr">
        <is>
          <t>SECTION : 2 of a family</t>
        </is>
      </c>
      <c r="B6" s="60" t="n">
        <v>0.1</v>
      </c>
      <c r="C6" s="50" t="inlineStr">
        <is>
          <t>BAND</t>
        </is>
      </c>
      <c r="D6" s="50" t="inlineStr">
        <is>
          <t>SectionTwo</t>
        </is>
      </c>
      <c r="E6" s="50" t="inlineStr">
        <is>
          <t>เครื่องกลุ่มเดียวกันบนเวที 2 คน</t>
        </is>
      </c>
    </row>
    <row r="7" ht="15" customHeight="1" s="33">
      <c r="A7" s="45" t="inlineStr">
        <is>
          <t>SECTION : all 3 of a family</t>
        </is>
      </c>
      <c r="B7" s="61" t="n">
        <v>0.25</v>
      </c>
      <c r="C7" s="47" t="inlineStr">
        <is>
          <t>BAND</t>
        </is>
      </c>
      <c r="D7" s="47" t="inlineStr">
        <is>
          <t>SectionThree</t>
        </is>
      </c>
      <c r="E7" s="47" t="n"/>
    </row>
    <row r="8" ht="15" customHeight="1" s="33">
      <c r="A8" s="48" t="inlineStr">
        <is>
          <t>COMBO per PERFECT</t>
        </is>
      </c>
      <c r="B8" s="60" t="n">
        <v>0.06</v>
      </c>
      <c r="C8" s="50" t="inlineStr">
        <is>
          <t>BAND</t>
        </is>
      </c>
      <c r="D8" s="50" t="inlineStr">
        <is>
          <t>ComboStep</t>
        </is>
      </c>
      <c r="E8" s="50" t="inlineStr">
        <is>
          <t>PERFECT ติดกัน +6% ต่อครั้ง</t>
        </is>
      </c>
    </row>
    <row r="9" ht="15" customHeight="1" s="33">
      <c r="A9" s="45" t="inlineStr">
        <is>
          <t>COMBO Max Steps</t>
        </is>
      </c>
      <c r="B9" s="46" t="n">
        <v>5</v>
      </c>
      <c r="C9" s="47" t="inlineStr">
        <is>
          <t>BAND</t>
        </is>
      </c>
      <c r="D9" s="47" t="inlineStr">
        <is>
          <t>ComboMax</t>
        </is>
      </c>
      <c r="E9" s="47" t="inlineStr">
        <is>
          <t>สูงสุด +30%</t>
        </is>
      </c>
    </row>
    <row r="10" ht="15" customHeight="1" s="33">
      <c r="A10" s="48" t="inlineStr">
        <is>
          <t>FORTISSIMO after combo</t>
        </is>
      </c>
      <c r="B10" s="49" t="n">
        <v>8</v>
      </c>
      <c r="C10" s="50" t="inlineStr">
        <is>
          <t>BAND</t>
        </is>
      </c>
      <c r="D10" s="50" t="inlineStr">
        <is>
          <t>FortissimoCombo</t>
        </is>
      </c>
      <c r="E10" s="50" t="n"/>
    </row>
    <row r="11" ht="15" customHeight="1" s="33">
      <c r="A11" s="45" t="inlineStr">
        <is>
          <t>FORTISSIMO lasts (beats)</t>
        </is>
      </c>
      <c r="B11" s="46" t="n">
        <v>4</v>
      </c>
      <c r="C11" s="47" t="inlineStr">
        <is>
          <t>BAND</t>
        </is>
      </c>
      <c r="D11" s="47" t="inlineStr">
        <is>
          <t>FortissimoBeats</t>
        </is>
      </c>
      <c r="E11" s="47" t="n"/>
    </row>
    <row r="12" ht="15" customHeight="1" s="33">
      <c r="A12" s="48" t="inlineStr">
        <is>
          <t>FORTISSIMO power</t>
        </is>
      </c>
      <c r="B12" s="57" t="n">
        <v>1.3</v>
      </c>
      <c r="C12" s="50" t="inlineStr">
        <is>
          <t>BAND</t>
        </is>
      </c>
      <c r="D12" s="50" t="inlineStr">
        <is>
          <t>FortissimoPower</t>
        </is>
      </c>
      <c r="E12" s="50" t="n"/>
    </row>
    <row r="13" ht="15" customHeight="1" s="33">
      <c r="A13" s="45" t="inlineStr">
        <is>
          <t>IN TUNE : TACET keeps</t>
        </is>
      </c>
      <c r="B13" s="61" t="n">
        <v>0.6</v>
      </c>
      <c r="C13" s="47" t="inlineStr">
        <is>
          <t>TACET</t>
        </is>
      </c>
      <c r="D13" s="47" t="inlineStr">
        <is>
          <t>InTuneKeep</t>
        </is>
      </c>
      <c r="E13" s="47" t="inlineStr">
        <is>
          <t>ตรงเวลา + ขนาดตรงตัวอักษรจริง</t>
        </is>
      </c>
    </row>
    <row r="14" ht="15" customHeight="1" s="33">
      <c r="A14" s="48" t="inlineStr">
        <is>
          <t>COUNTER : TACET keeps</t>
        </is>
      </c>
      <c r="B14" s="60" t="n">
        <v>0.7</v>
      </c>
      <c r="C14" s="50" t="inlineStr">
        <is>
          <t>TACET</t>
        </is>
      </c>
      <c r="D14" s="50" t="inlineStr">
        <is>
          <t>CounterKeep</t>
        </is>
      </c>
      <c r="E14" s="50" t="inlineStr">
        <is>
          <t>PERFECT ตวัดใหญ่ใส่โน้ต f จริง</t>
        </is>
      </c>
    </row>
    <row r="15" ht="15" customHeight="1" s="33">
      <c r="A15" s="45" t="inlineStr">
        <is>
          <t>TACET f note</t>
        </is>
      </c>
      <c r="B15" s="55" t="n">
        <v>2</v>
      </c>
      <c r="C15" s="47" t="inlineStr">
        <is>
          <t>TACET</t>
        </is>
      </c>
      <c r="D15" s="47" t="inlineStr">
        <is>
          <t>EnemyBoostPower</t>
        </is>
      </c>
      <c r="E15" s="47" t="inlineStr">
        <is>
          <t>โน้ต f ของ TACET แรง ×2</t>
        </is>
      </c>
    </row>
    <row r="16" ht="15" customHeight="1" s="33">
      <c r="A16" s="48" t="inlineStr">
        <is>
          <t>TACET p note</t>
        </is>
      </c>
      <c r="B16" s="57" t="n">
        <v>0.5</v>
      </c>
      <c r="C16" s="50" t="inlineStr">
        <is>
          <t>TACET</t>
        </is>
      </c>
      <c r="D16" s="50" t="inlineStr">
        <is>
          <t>EnemyEasePower</t>
        </is>
      </c>
      <c r="E16" s="50" t="inlineStr">
        <is>
          <t>โน้ต p แรง ×0.5</t>
        </is>
      </c>
    </row>
    <row r="17" ht="15" customHeight="1" s="33">
      <c r="A17" s="45" t="inlineStr">
        <is>
          <t>TACET'S BLOW (breath per point)</t>
        </is>
      </c>
      <c r="B17" s="51" t="n">
        <v>0.95</v>
      </c>
      <c r="C17" s="47" t="inlineStr">
        <is>
          <t>BREATH</t>
        </is>
      </c>
      <c r="D17" s="47" t="inlineStr">
        <is>
          <t>BlowPerPower</t>
        </is>
      </c>
      <c r="E17" s="47" t="inlineStr">
        <is>
          <t>บีตที่ TACET ชนะ วงเสียลม 0.95 ต่อแต้มที่แพ้</t>
        </is>
      </c>
    </row>
    <row r="18" ht="15" customHeight="1" s="33">
      <c r="A18" s="48" t="inlineStr">
        <is>
          <t>Rest : breath back</t>
        </is>
      </c>
      <c r="B18" s="49" t="n">
        <v>12</v>
      </c>
      <c r="C18" s="50" t="inlineStr">
        <is>
          <t>BREATH</t>
        </is>
      </c>
      <c r="D18" s="50" t="inlineStr">
        <is>
          <t>RestRecover</t>
        </is>
      </c>
      <c r="E18" s="50" t="inlineStr">
        <is>
          <t>บีตเงียบ ไม่ตวัดหรือตวัดเล็ก = พัก</t>
        </is>
      </c>
    </row>
    <row r="20" ht="21" customHeight="1" s="33">
      <c r="A20" s="40" t="inlineStr">
        <is>
          <t>Special Notes (TREMOLO · FERMATA · SPARK · FINALE)</t>
        </is>
      </c>
      <c r="B20" s="41" t="n"/>
      <c r="C20" s="41" t="n"/>
      <c r="D20" s="41" t="n"/>
      <c r="E20" s="42" t="n"/>
    </row>
    <row r="21" ht="15" customHeight="1" s="33">
      <c r="A21" s="43" t="inlineStr">
        <is>
          <t>Parameter</t>
        </is>
      </c>
      <c r="B21" s="44" t="inlineStr">
        <is>
          <t>NORMAL</t>
        </is>
      </c>
      <c r="C21" s="44" t="inlineStr">
        <is>
          <t>MAESTRO</t>
        </is>
      </c>
      <c r="D21" s="44" t="inlineStr">
        <is>
          <t>Code</t>
        </is>
      </c>
      <c r="E21" s="44" t="inlineStr">
        <is>
          <t>Notes</t>
        </is>
      </c>
    </row>
    <row r="22" ht="15" customHeight="1" s="33">
      <c r="A22" s="45" t="inlineStr">
        <is>
          <t>TREMOLO length (beats)</t>
        </is>
      </c>
      <c r="B22" s="46" t="n">
        <v>2</v>
      </c>
      <c r="C22" s="46" t="n">
        <v>2</v>
      </c>
      <c r="D22" s="47" t="inlineStr">
        <is>
          <t>TremoloBeats</t>
        </is>
      </c>
      <c r="E22" s="47" t="inlineStr">
        <is>
          <t>Elite/บอสจบทุกรอบด้วยโน้ตรัว</t>
        </is>
      </c>
    </row>
    <row r="23" ht="15" customHeight="1" s="33">
      <c r="A23" s="48" t="inlineStr">
        <is>
          <t>TREMOLO : TACET power</t>
        </is>
      </c>
      <c r="B23" s="57" t="n">
        <v>1.5</v>
      </c>
      <c r="C23" s="57" t="n">
        <v>1.5</v>
      </c>
      <c r="D23" s="50" t="inlineStr">
        <is>
          <t>TremoloEnemy</t>
        </is>
      </c>
      <c r="E23" s="50" t="n"/>
    </row>
    <row r="24" ht="15" customHeight="1" s="33">
      <c r="A24" s="45" t="inlineStr">
        <is>
          <t>TREMOLO : base share (no shakes)</t>
        </is>
      </c>
      <c r="B24" s="61" t="n">
        <v>0.4</v>
      </c>
      <c r="C24" s="61" t="n">
        <v>0.4</v>
      </c>
      <c r="D24" s="47" t="inlineStr">
        <is>
          <t>TremoloBase</t>
        </is>
      </c>
      <c r="E24" s="47" t="n"/>
    </row>
    <row r="25" ht="15" customHeight="1" s="33">
      <c r="A25" s="48" t="inlineStr">
        <is>
          <t>TREMOLO : per shake</t>
        </is>
      </c>
      <c r="B25" s="60" t="n">
        <v>0.15</v>
      </c>
      <c r="C25" s="60" t="n">
        <v>0.15</v>
      </c>
      <c r="D25" s="50" t="inlineStr">
        <is>
          <t>TremoloStep</t>
        </is>
      </c>
      <c r="E25" s="50" t="n"/>
    </row>
    <row r="26" ht="15" customHeight="1" s="33">
      <c r="A26" s="45" t="inlineStr">
        <is>
          <t>TREMOLO : shakes counted (max)</t>
        </is>
      </c>
      <c r="B26" s="46" t="n">
        <v>10</v>
      </c>
      <c r="C26" s="46" t="n">
        <v>10</v>
      </c>
      <c r="D26" s="47" t="inlineStr">
        <is>
          <t>TremoloMost</t>
        </is>
      </c>
      <c r="E26" s="47" t="n"/>
    </row>
    <row r="27" ht="15" customHeight="1" s="33">
      <c r="A27" s="48" t="inlineStr">
        <is>
          <t>TREMOLO : shakes for PERFECT</t>
        </is>
      </c>
      <c r="B27" s="49" t="n">
        <v>5</v>
      </c>
      <c r="C27" s="49" t="n">
        <v>6</v>
      </c>
      <c r="D27" s="50" t="inlineStr">
        <is>
          <t>TremoloPerfect / Maestro…</t>
        </is>
      </c>
      <c r="E27" s="50" t="n"/>
    </row>
    <row r="28" ht="15" customHeight="1" s="33">
      <c r="A28" s="45" t="inlineStr">
        <is>
          <t>TREMOLO : shakes for GOOD</t>
        </is>
      </c>
      <c r="B28" s="46" t="n">
        <v>3</v>
      </c>
      <c r="C28" s="46" t="n">
        <v>4</v>
      </c>
      <c r="D28" s="47" t="inlineStr">
        <is>
          <t>TremoloGood / Maestro…</t>
        </is>
      </c>
      <c r="E28" s="47" t="n"/>
    </row>
    <row r="29" ht="15" customHeight="1" s="33">
      <c r="A29" s="48" t="inlineStr">
        <is>
          <t>FERMATA length (beats)</t>
        </is>
      </c>
      <c r="B29" s="49" t="n">
        <v>2</v>
      </c>
      <c r="C29" s="49" t="n">
        <v>2</v>
      </c>
      <c r="D29" s="50" t="inlineStr">
        <is>
          <t>FermataBeats</t>
        </is>
      </c>
      <c r="E29" s="50" t="inlineStr">
        <is>
          <t>ศัตรูธรรมดาจบรอบด้วยโน้ตค้าง (ชั้น 2+)</t>
        </is>
      </c>
    </row>
    <row r="30" ht="15" customHeight="1" s="33">
      <c r="A30" s="45" t="inlineStr">
        <is>
          <t>FERMATA : TACET power</t>
        </is>
      </c>
      <c r="B30" s="55" t="n">
        <v>1.3</v>
      </c>
      <c r="C30" s="55" t="n">
        <v>1.3</v>
      </c>
      <c r="D30" s="47" t="inlineStr">
        <is>
          <t>FermataEnemy</t>
        </is>
      </c>
      <c r="E30" s="47" t="n"/>
    </row>
    <row r="31" ht="15" customHeight="1" s="33">
      <c r="A31" s="48" t="inlineStr">
        <is>
          <t>FERMATA : let go at once</t>
        </is>
      </c>
      <c r="B31" s="60" t="n">
        <v>0.6</v>
      </c>
      <c r="C31" s="60" t="n">
        <v>0.6</v>
      </c>
      <c r="D31" s="50" t="inlineStr">
        <is>
          <t>FermataBase</t>
        </is>
      </c>
      <c r="E31" s="50" t="n"/>
    </row>
    <row r="32" ht="15" customHeight="1" s="33">
      <c r="A32" s="45" t="inlineStr">
        <is>
          <t>FERMATA : added over the hold</t>
        </is>
      </c>
      <c r="B32" s="61" t="n">
        <v>0.8</v>
      </c>
      <c r="C32" s="61" t="n">
        <v>0.8</v>
      </c>
      <c r="D32" s="47" t="inlineStr">
        <is>
          <t>FermataHold</t>
        </is>
      </c>
      <c r="E32" s="47" t="inlineStr">
        <is>
          <t>ค้างจนจบ = ×1.4</t>
        </is>
      </c>
    </row>
    <row r="33" ht="15" customHeight="1" s="33">
      <c r="A33" s="48" t="inlineStr">
        <is>
          <t>FERMATA : still speed (px/s)</t>
        </is>
      </c>
      <c r="B33" s="49" t="n">
        <v>260</v>
      </c>
      <c r="C33" s="49" t="n">
        <v>260</v>
      </c>
      <c r="D33" s="50" t="inlineStr">
        <is>
          <t>FermataStill</t>
        </is>
      </c>
      <c r="E33" s="50" t="inlineStr">
        <is>
          <t>ไม้ขยับไม่เกินนี้ถือว่านิ่ง</t>
        </is>
      </c>
    </row>
    <row r="34" ht="15" customHeight="1" s="33">
      <c r="A34" s="45" t="inlineStr">
        <is>
          <t>SPARK pairs in round 1 / 2 / 3</t>
        </is>
      </c>
      <c r="B34" s="54" t="inlineStr">
        <is>
          <t>2 / 3 / 4</t>
        </is>
      </c>
      <c r="C34" s="54" t="inlineStr">
        <is>
          <t>2 / 3 / 4</t>
        </is>
      </c>
      <c r="D34" s="47" t="inlineStr">
        <is>
          <t>DoubleNotes</t>
        </is>
      </c>
      <c r="E34" s="47" t="inlineStr">
        <is>
          <t>โน้ตคู่</t>
        </is>
      </c>
    </row>
    <row r="35" ht="15" customHeight="1" s="33">
      <c r="A35" s="48" t="inlineStr">
        <is>
          <t>SPARK : share of its beat</t>
        </is>
      </c>
      <c r="B35" s="60" t="n">
        <v>0.5</v>
      </c>
      <c r="C35" s="60" t="n">
        <v>0.5</v>
      </c>
      <c r="D35" s="50" t="inlineStr">
        <is>
          <t>GraceShare</t>
        </is>
      </c>
      <c r="E35" s="50" t="n"/>
    </row>
    <row r="36" ht="15" customHeight="1" s="33">
      <c r="A36" s="45" t="inlineStr">
        <is>
          <t>FINALE : extra shards</t>
        </is>
      </c>
      <c r="B36" s="46" t="n">
        <v>25</v>
      </c>
      <c r="C36" s="46" t="n">
        <v>25</v>
      </c>
      <c r="D36" s="47" t="inlineStr">
        <is>
          <t>FinaleShards</t>
        </is>
      </c>
      <c r="E36" s="47" t="inlineStr">
        <is>
          <t>จบด้วย FINALE ได้ shards เพิ่ม</t>
        </is>
      </c>
    </row>
    <row r="38" ht="21" customHeight="1" s="33">
      <c r="A38" s="40" t="inlineStr">
        <is>
          <t>Conductor Skill Matrix (PASSIVE + SIGNATURE)</t>
        </is>
      </c>
      <c r="B38" s="41" t="n"/>
      <c r="C38" s="41" t="n"/>
      <c r="D38" s="41" t="n"/>
      <c r="E38" s="42" t="n"/>
    </row>
    <row r="39" ht="18.75" customHeight="1" s="33">
      <c r="A39" s="53" t="inlineStr">
        <is>
          <t>SIGNATURE ทำงาน 4 ตวัด หลังเก็บโน้ตครบตาม Recipe (แท็บ Entity Tuning) แล้วกด Space</t>
        </is>
      </c>
    </row>
    <row r="40" ht="15" customHeight="1" s="33">
      <c r="A40" s="43" t="inlineStr">
        <is>
          <t>Skill</t>
        </is>
      </c>
      <c r="B40" s="44" t="inlineStr">
        <is>
          <t>Value</t>
        </is>
      </c>
      <c r="C40" s="44" t="inlineStr">
        <is>
          <t>Conductor</t>
        </is>
      </c>
      <c r="D40" s="44" t="inlineStr">
        <is>
          <t>Code</t>
        </is>
      </c>
      <c r="E40" s="44" t="inlineStr">
        <is>
          <t>Notes / Mechanics</t>
        </is>
      </c>
    </row>
    <row r="41" ht="15" customHeight="1" s="33">
      <c r="A41" s="45" t="inlineStr">
        <is>
          <t>BY THE BOOK (passive)</t>
        </is>
      </c>
      <c r="B41" s="54" t="inlineStr">
        <is>
          <t>-</t>
        </is>
      </c>
      <c r="C41" s="47" t="inlineStr">
        <is>
          <t>THE APPRENTICE</t>
        </is>
      </c>
      <c r="D41" s="47" t="inlineStr">
        <is>
          <t>-</t>
        </is>
      </c>
      <c r="E41" s="47" t="inlineStr">
        <is>
          <t>GOOD ก็เก็บโน้ตสูตรได้ (คนอื่นต้อง PERFECT)</t>
        </is>
      </c>
    </row>
    <row r="42" ht="15" customHeight="1" s="33">
      <c r="A42" s="48" t="inlineStr">
        <is>
          <t>ABSOLUTE PITCH (signature)</t>
        </is>
      </c>
      <c r="B42" s="56" t="inlineStr">
        <is>
          <t>-</t>
        </is>
      </c>
      <c r="C42" s="50" t="inlineStr">
        <is>
          <t>THE APPRENTICE</t>
        </is>
      </c>
      <c r="D42" s="50" t="inlineStr">
        <is>
          <t>-</t>
        </is>
      </c>
      <c r="E42" s="50" t="inlineStr">
        <is>
          <t>4 ตวัด : ตรงเวลา = ขนาดถูก + IN TUNE</t>
        </is>
      </c>
    </row>
    <row r="43" ht="15" customHeight="1" s="33">
      <c r="A43" s="45" t="inlineStr">
        <is>
          <t>LOCKED TEMPO (passive)</t>
        </is>
      </c>
      <c r="B43" s="54" t="inlineStr">
        <is>
          <t>-</t>
        </is>
      </c>
      <c r="C43" s="47" t="inlineStr">
        <is>
          <t>THE METRONOME</t>
        </is>
      </c>
      <c r="D43" s="47" t="inlineStr">
        <is>
          <t>-</t>
        </is>
      </c>
      <c r="E43" s="47" t="inlineStr">
        <is>
          <t>ขนาดไหนก็ถูก (IN TUNE เฉพาะที่ตรงจริง)</t>
        </is>
      </c>
    </row>
    <row r="44" ht="15" customHeight="1" s="33">
      <c r="A44" s="48" t="inlineStr">
        <is>
          <t>CLOCKWORK (signature)</t>
        </is>
      </c>
      <c r="B44" s="56" t="inlineStr">
        <is>
          <t>-</t>
        </is>
      </c>
      <c r="C44" s="50" t="inlineStr">
        <is>
          <t>THE METRONOME</t>
        </is>
      </c>
      <c r="D44" s="50" t="inlineStr">
        <is>
          <t>-</t>
        </is>
      </c>
      <c r="E44" s="50" t="inlineStr">
        <is>
          <t>4 ตวัด : ตรงเวลา (GOOD) = PERFECT</t>
        </is>
      </c>
    </row>
    <row r="45" ht="15" customHeight="1" s="33">
      <c r="A45" s="45" t="inlineStr">
        <is>
          <t>RUNAWAY FIRE (passive)</t>
        </is>
      </c>
      <c r="B45" s="55" t="n">
        <v>1.3</v>
      </c>
      <c r="C45" s="47" t="inlineStr">
        <is>
          <t>THE INFERNO</t>
        </is>
      </c>
      <c r="D45" s="47" t="inlineStr">
        <is>
          <t>RunawayFireBonus</t>
        </is>
      </c>
      <c r="E45" s="47" t="inlineStr">
        <is>
          <t>MISS ไม่เสียพลัง บีตถัดไปแรง ×1.3</t>
        </is>
      </c>
    </row>
    <row r="46" ht="15" customHeight="1" s="33">
      <c r="A46" s="48" t="inlineStr">
        <is>
          <t>SET ALIGHT (signature) power</t>
        </is>
      </c>
      <c r="B46" s="57" t="n">
        <v>1.3</v>
      </c>
      <c r="C46" s="50" t="inlineStr">
        <is>
          <t>THE INFERNO</t>
        </is>
      </c>
      <c r="D46" s="50" t="inlineStr">
        <is>
          <t>SetAlightPower</t>
        </is>
      </c>
      <c r="E46" s="50" t="inlineStr">
        <is>
          <t>4 ตวัด : แรง ×1.3</t>
        </is>
      </c>
    </row>
    <row r="47" ht="15" customHeight="1" s="33">
      <c r="A47" s="45" t="inlineStr">
        <is>
          <t>SET ALIGHT (signature) push cap</t>
        </is>
      </c>
      <c r="B47" s="46" t="n">
        <v>10</v>
      </c>
      <c r="C47" s="47" t="inlineStr">
        <is>
          <t>THE INFERNO</t>
        </is>
      </c>
      <c r="D47" s="47" t="inlineStr">
        <is>
          <t>SetAlightCap</t>
        </is>
      </c>
      <c r="E47" s="47" t="inlineStr">
        <is>
          <t>ดันได้ถึง 10 ต่อโน้ต (ปกติ 8)</t>
        </is>
      </c>
    </row>
    <row r="48" ht="15" customHeight="1" s="33">
      <c r="A48" s="48" t="inlineStr">
        <is>
          <t>THE CLOSER THE LOUDER (passive) max</t>
        </is>
      </c>
      <c r="B48" s="60" t="n">
        <v>0.25</v>
      </c>
      <c r="C48" s="50" t="inlineStr">
        <is>
          <t>THE UNHEARING</t>
        </is>
      </c>
      <c r="D48" s="50" t="inlineStr">
        <is>
          <t>CloserLouderMax</t>
        </is>
      </c>
      <c r="E48" s="50" t="inlineStr">
        <is>
          <t>ลมยิ่งน้อย วงยิ่งแรง สูงสุด +25%</t>
        </is>
      </c>
    </row>
    <row r="49" ht="15" customHeight="1" s="33">
      <c r="A49" s="45" t="inlineStr">
        <is>
          <t>THE CLOSER THE LOUDER (passive) from</t>
        </is>
      </c>
      <c r="B49" s="61" t="n">
        <v>0.5</v>
      </c>
      <c r="C49" s="47" t="inlineStr">
        <is>
          <t>THE UNHEARING</t>
        </is>
      </c>
      <c r="D49" s="47" t="inlineStr">
        <is>
          <t>CloserLouderFrom</t>
        </is>
      </c>
      <c r="E49" s="47" t="inlineStr">
        <is>
          <t>เริ่มเมื่อลมต่ำกว่าครึ่ง</t>
        </is>
      </c>
    </row>
    <row r="50" ht="15" customHeight="1" s="33">
      <c r="A50" s="48" t="inlineStr">
        <is>
          <t>DEAF EARS (signature)</t>
        </is>
      </c>
      <c r="B50" s="56" t="inlineStr">
        <is>
          <t>-</t>
        </is>
      </c>
      <c r="C50" s="50" t="inlineStr">
        <is>
          <t>THE UNHEARING</t>
        </is>
      </c>
      <c r="D50" s="50" t="inlineStr">
        <is>
          <t>-</t>
        </is>
      </c>
      <c r="E50" s="50" t="inlineStr">
        <is>
          <t>4 ตวัด : TACET ซัดไม่เสียลม</t>
        </is>
      </c>
    </row>
    <row r="51" ht="15" customHeight="1" s="33">
      <c r="A51" s="45" t="inlineStr">
        <is>
          <t>EVERY ROAD HOME (passive)</t>
        </is>
      </c>
      <c r="B51" s="61" t="n">
        <v>0.05</v>
      </c>
      <c r="C51" s="47" t="inlineStr">
        <is>
          <t>THE FOLK LEADER</t>
        </is>
      </c>
      <c r="D51" s="47" t="inlineStr">
        <is>
          <t>CrossCultureHarmony</t>
        </is>
      </c>
      <c r="E51" s="47" t="inlineStr">
        <is>
          <t>ต่างวัฒนธรรมบนบีตเดียวกัน +5% ต่อวัฒนธรรมที่เพิ่ม</t>
        </is>
      </c>
    </row>
    <row r="52" ht="15" customHeight="1" s="33">
      <c r="A52" s="48" t="inlineStr">
        <is>
          <t>VILLAGE BAND (signature)</t>
        </is>
      </c>
      <c r="B52" s="49" t="n">
        <v>3</v>
      </c>
      <c r="C52" s="50" t="inlineStr">
        <is>
          <t>THE FOLK LEADER</t>
        </is>
      </c>
      <c r="D52" s="50" t="inlineStr">
        <is>
          <t>VillageBandRecover</t>
        </is>
      </c>
      <c r="E52" s="50" t="inlineStr">
        <is>
          <t>4 ตวัด : ตวัดตรงเวลาคืนลม 3</t>
        </is>
      </c>
    </row>
    <row r="54" ht="21" customHeight="1" s="33">
      <c r="A54" s="40" t="inlineStr">
        <is>
          <t>Musician Trait Matrix</t>
        </is>
      </c>
      <c r="B54" s="41" t="n"/>
      <c r="C54" s="41" t="n"/>
      <c r="D54" s="41" t="n"/>
      <c r="E54" s="42" t="n"/>
    </row>
    <row r="55" ht="15" customHeight="1" s="33">
      <c r="A55" s="43" t="inlineStr">
        <is>
          <t>Trait</t>
        </is>
      </c>
      <c r="B55" s="44" t="inlineStr">
        <is>
          <t>Value</t>
        </is>
      </c>
      <c r="C55" s="44" t="inlineStr">
        <is>
          <t>Musician</t>
        </is>
      </c>
      <c r="D55" s="44" t="inlineStr">
        <is>
          <t>Code</t>
        </is>
      </c>
      <c r="E55" s="44" t="inlineStr">
        <is>
          <t>Notes / Mechanics</t>
        </is>
      </c>
    </row>
    <row r="56" ht="15" customHeight="1" s="33">
      <c r="A56" s="45" t="inlineStr">
        <is>
          <t>COUNTS ALOUD (PERFECT window +ms)</t>
        </is>
      </c>
      <c r="B56" s="46" t="n">
        <v>50</v>
      </c>
      <c r="C56" s="47" t="inlineStr">
        <is>
          <t>ANNA</t>
        </is>
      </c>
      <c r="D56" s="47" t="inlineStr">
        <is>
          <t>KeepsCountWindow</t>
        </is>
      </c>
      <c r="E56" s="47" t="inlineStr">
        <is>
          <t>บนบีตลูกศรของเธอ หน้าต่าง PERFECT กว้างขึ้น 50 ms</t>
        </is>
      </c>
    </row>
    <row r="57" ht="15" customHeight="1" s="33">
      <c r="A57" s="48" t="inlineStr">
        <is>
          <t>THE QUIET PART</t>
        </is>
      </c>
      <c r="B57" s="57" t="n">
        <v>2</v>
      </c>
      <c r="C57" s="50" t="inlineStr">
        <is>
          <t>KLARA</t>
        </is>
      </c>
      <c r="D57" s="50" t="inlineStr">
        <is>
          <t>QuietPartPower</t>
        </is>
      </c>
      <c r="E57" s="50" t="inlineStr">
        <is>
          <t>ใส่โน้ต p ของ TACET แรง ×2</t>
        </is>
      </c>
    </row>
    <row r="58" ht="15" customHeight="1" s="33">
      <c r="A58" s="45" t="inlineStr">
        <is>
          <t>MOMENTUM (per beat in a row)</t>
        </is>
      </c>
      <c r="B58" s="46" t="n">
        <v>1</v>
      </c>
      <c r="C58" s="47" t="inlineStr">
        <is>
          <t>OTTO</t>
        </is>
      </c>
      <c r="D58" s="47" t="inlineStr">
        <is>
          <t>MomentumStep</t>
        </is>
      </c>
      <c r="E58" s="47" t="inlineStr">
        <is>
          <t>เล่นติดกันแรง +1 ต่อบีต</t>
        </is>
      </c>
    </row>
    <row r="59" ht="15" customHeight="1" s="33">
      <c r="A59" s="48" t="inlineStr">
        <is>
          <t>MOMENTUM (max)</t>
        </is>
      </c>
      <c r="B59" s="49" t="n">
        <v>3</v>
      </c>
      <c r="C59" s="50" t="inlineStr">
        <is>
          <t>OTTO</t>
        </is>
      </c>
      <c r="D59" s="50" t="inlineStr">
        <is>
          <t>MomentumMax</t>
        </is>
      </c>
      <c r="E59" s="50" t="n"/>
    </row>
    <row r="60" ht="15" customHeight="1" s="33">
      <c r="A60" s="45" t="inlineStr">
        <is>
          <t>BY EAR</t>
        </is>
      </c>
      <c r="B60" s="55" t="n">
        <v>1.5</v>
      </c>
      <c r="C60" s="47" t="inlineStr">
        <is>
          <t>MALI</t>
        </is>
      </c>
      <c r="D60" s="47" t="inlineStr">
        <is>
          <t>ByEarPower</t>
        </is>
      </c>
      <c r="E60" s="47" t="inlineStr">
        <is>
          <t>บีต ??? แรง ×1.5</t>
        </is>
      </c>
    </row>
    <row r="61" ht="15" customHeight="1" s="33">
      <c r="A61" s="48" t="inlineStr">
        <is>
          <t>HELD NOTE</t>
        </is>
      </c>
      <c r="B61" s="60" t="n">
        <v>0.4</v>
      </c>
      <c r="C61" s="50" t="inlineStr">
        <is>
          <t>CHAI</t>
        </is>
      </c>
      <c r="D61" s="50" t="inlineStr">
        <is>
          <t>HeldNoteShare</t>
        </is>
      </c>
      <c r="E61" s="50" t="inlineStr">
        <is>
          <t>บีตที่ไม่มีใครเล่น โน้ตเขาดังต่อ 40%</t>
        </is>
      </c>
    </row>
    <row r="62" ht="15" customHeight="1" s="33">
      <c r="A62" s="45" t="inlineStr">
        <is>
          <t>ONE STEP BETTER</t>
        </is>
      </c>
      <c r="B62" s="55" t="n">
        <v>1.3</v>
      </c>
      <c r="C62" s="47" t="inlineStr">
        <is>
          <t>NUAN</t>
        </is>
      </c>
      <c r="D62" s="47" t="inlineStr">
        <is>
          <t>OneStepBetterPower</t>
        </is>
      </c>
      <c r="E62" s="47" t="inlineStr">
        <is>
          <t>TACET เล่น f แรง ×1.3</t>
        </is>
      </c>
    </row>
    <row r="63" ht="15" customHeight="1" s="33">
      <c r="A63" s="48" t="inlineStr">
        <is>
          <t>FOUR BARS STRAIGHT</t>
        </is>
      </c>
      <c r="B63" s="57" t="n">
        <v>2</v>
      </c>
      <c r="C63" s="50" t="inlineStr">
        <is>
          <t>LUKA</t>
        </is>
      </c>
      <c r="D63" s="50" t="inlineStr">
        <is>
          <t>FourBarsPower</t>
        </is>
      </c>
      <c r="E63" s="50" t="inlineStr">
        <is>
          <t>เล่นครบ 4 บีตของห้อง บีตที่ 4 แรง ×2</t>
        </is>
      </c>
    </row>
    <row r="64" ht="15" customHeight="1" s="33">
      <c r="A64" s="45" t="inlineStr">
        <is>
          <t>FASHIONABLY LATE</t>
        </is>
      </c>
      <c r="B64" s="54" t="inlineStr">
        <is>
          <t>-</t>
        </is>
      </c>
      <c r="C64" s="47" t="inlineStr">
        <is>
          <t>IRIS</t>
        </is>
      </c>
      <c r="D64" s="47" t="inlineStr">
        <is>
          <t>-</t>
        </is>
      </c>
      <c r="E64" s="47" t="inlineStr">
        <is>
          <t>บีตลูกศรของเธอ ตวัดช้ายังได้ GOOD</t>
        </is>
      </c>
    </row>
    <row r="65" ht="15" customHeight="1" s="33">
      <c r="A65" s="48" t="inlineStr">
        <is>
          <t>THE WHOLE FLOOR</t>
        </is>
      </c>
      <c r="B65" s="49" t="n">
        <v>2</v>
      </c>
      <c r="C65" s="50" t="inlineStr">
        <is>
          <t>BORIS</t>
        </is>
      </c>
      <c r="D65" s="50" t="inlineStr">
        <is>
          <t>ThunderKnock</t>
        </is>
      </c>
      <c r="E65" s="50" t="inlineStr">
        <is>
          <t>ตวัดใหญ่ใส่ f หักโน้ตถัดไปของ TACET 2</t>
        </is>
      </c>
    </row>
    <row r="67" ht="21" customHeight="1" s="33">
      <c r="A67" s="40" t="inlineStr">
        <is>
          <t>Motif Matrix (ของติดตัวทั้งรัน)</t>
        </is>
      </c>
      <c r="B67" s="41" t="n"/>
      <c r="C67" s="41" t="n"/>
      <c r="D67" s="41" t="n"/>
      <c r="E67" s="41" t="n"/>
      <c r="F67" s="41" t="n"/>
      <c r="G67" s="42" t="n"/>
    </row>
    <row r="68" ht="18.75" customHeight="1" s="33">
      <c r="A68" s="53" t="inlineStr">
        <is>
          <t>Rarity 1 COMMON · 2 RARE · 3 TREASURED · Shop Price ดึงจากตารางราคาในแท็บ Economy · From Floor = ชั้นแรกที่สุ่มได้</t>
        </is>
      </c>
    </row>
    <row r="69" ht="15" customHeight="1" s="33">
      <c r="A69" s="43" t="inlineStr">
        <is>
          <t>Motif</t>
        </is>
      </c>
      <c r="B69" s="44" t="inlineStr">
        <is>
          <t>Value</t>
        </is>
      </c>
      <c r="C69" s="44" t="inlineStr">
        <is>
          <t>Rarity</t>
        </is>
      </c>
      <c r="D69" s="44" t="inlineStr">
        <is>
          <t>Code</t>
        </is>
      </c>
      <c r="E69" s="44" t="inlineStr">
        <is>
          <t>Effect</t>
        </is>
      </c>
      <c r="F69" s="44" t="inlineStr">
        <is>
          <t>Shop Price</t>
        </is>
      </c>
      <c r="G69" s="44" t="inlineStr">
        <is>
          <t>From Floor</t>
        </is>
      </c>
    </row>
    <row r="70" ht="15" customHeight="1" s="33">
      <c r="A70" s="45" t="inlineStr">
        <is>
          <t>ROSIN</t>
        </is>
      </c>
      <c r="B70" s="46" t="n">
        <v>1</v>
      </c>
      <c r="C70" s="46" t="n">
        <v>1</v>
      </c>
      <c r="D70" s="54" t="inlineStr">
        <is>
          <t>FamilyMotifPower</t>
        </is>
      </c>
      <c r="E70" s="54" t="inlineStr">
        <is>
          <t>String players hit 1 harder.</t>
        </is>
      </c>
      <c r="F70" s="62">
        <f>INDEX(Economy!$B$16:$B$18,C70)</f>
        <v/>
      </c>
      <c r="G70" s="46" t="n">
        <v>1</v>
      </c>
    </row>
    <row r="71" ht="15" customHeight="1" s="33">
      <c r="A71" s="48" t="inlineStr">
        <is>
          <t>REED CASE</t>
        </is>
      </c>
      <c r="B71" s="49" t="n">
        <v>4</v>
      </c>
      <c r="C71" s="49" t="n">
        <v>1</v>
      </c>
      <c r="D71" s="56" t="inlineStr">
        <is>
          <t>ReedCaseRest</t>
        </is>
      </c>
      <c r="E71" s="56" t="inlineStr">
        <is>
          <t>With a wind player on stage, every rest gives back 4 more breath.</t>
        </is>
      </c>
      <c r="F71" s="63">
        <f>INDEX(Economy!$B$16:$B$18,C71)</f>
        <v/>
      </c>
      <c r="G71" s="49" t="n">
        <v>1</v>
      </c>
    </row>
    <row r="72" ht="15" customHeight="1" s="33">
      <c r="A72" s="45" t="inlineStr">
        <is>
          <t>SPARE STICKS</t>
        </is>
      </c>
      <c r="B72" s="55" t="n">
        <v>1.3</v>
      </c>
      <c r="C72" s="46" t="n">
        <v>1</v>
      </c>
      <c r="D72" s="54" t="inlineStr">
        <is>
          <t>SpareSticksPower</t>
        </is>
      </c>
      <c r="E72" s="54" t="inlineStr">
        <is>
          <t>Percussion players hit 30 percent harder on TACET's f notes.</t>
        </is>
      </c>
      <c r="F72" s="62">
        <f>INDEX(Economy!$B$16:$B$18,C72)</f>
        <v/>
      </c>
      <c r="G72" s="46" t="n">
        <v>1</v>
      </c>
    </row>
    <row r="73" ht="15" customHeight="1" s="33">
      <c r="A73" s="48" t="inlineStr">
        <is>
          <t>PIANISSIMO</t>
        </is>
      </c>
      <c r="B73" s="49" t="n">
        <v>3</v>
      </c>
      <c r="C73" s="49" t="n">
        <v>1</v>
      </c>
      <c r="D73" s="56" t="inlineStr">
        <is>
          <t>PianissimoRecover</t>
        </is>
      </c>
      <c r="E73" s="56" t="inlineStr">
        <is>
          <t>A small stroke on a p note gives back 3 breath.</t>
        </is>
      </c>
      <c r="F73" s="63">
        <f>INDEX(Economy!$B$16:$B$18,C73)</f>
        <v/>
      </c>
      <c r="G73" s="49" t="n">
        <v>1</v>
      </c>
    </row>
    <row r="74" ht="15" customHeight="1" s="33">
      <c r="A74" s="45" t="inlineStr">
        <is>
          <t>PATRON'S PURSE</t>
        </is>
      </c>
      <c r="B74" s="55" t="n">
        <v>1.3</v>
      </c>
      <c r="C74" s="46" t="n">
        <v>1</v>
      </c>
      <c r="D74" s="54" t="inlineStr">
        <is>
          <t>PurseBonus</t>
        </is>
      </c>
      <c r="E74" s="54" t="inlineStr">
        <is>
          <t>Won fights pay 30 percent more shards.</t>
        </is>
      </c>
      <c r="F74" s="62">
        <f>INDEX(Economy!$B$16:$B$18,C74)</f>
        <v/>
      </c>
      <c r="G74" s="46" t="n">
        <v>1</v>
      </c>
    </row>
    <row r="75" ht="15" customHeight="1" s="33">
      <c r="A75" s="48" t="inlineStr">
        <is>
          <t>BREATH MARK</t>
        </is>
      </c>
      <c r="B75" s="57" t="n">
        <v>1.25</v>
      </c>
      <c r="C75" s="49" t="n">
        <v>2</v>
      </c>
      <c r="D75" s="56" t="inlineStr">
        <is>
          <t>BreathMarkRecover</t>
        </is>
      </c>
      <c r="E75" s="56" t="inlineStr">
        <is>
          <t>A rest gives back 15 breath instead of 12.</t>
        </is>
      </c>
      <c r="F75" s="63">
        <f>INDEX(Economy!$B$16:$B$18,C75)</f>
        <v/>
      </c>
      <c r="G75" s="49" t="n">
        <v>1</v>
      </c>
    </row>
    <row r="76" ht="15" customHeight="1" s="33">
      <c r="A76" s="45" t="inlineStr">
        <is>
          <t>TUTTI</t>
        </is>
      </c>
      <c r="B76" s="61" t="n">
        <v>0.06</v>
      </c>
      <c r="C76" s="46" t="n">
        <v>2</v>
      </c>
      <c r="D76" s="54" t="inlineStr">
        <is>
          <t>TuttiPerExtra</t>
        </is>
      </c>
      <c r="E76" s="54" t="inlineStr">
        <is>
          <t>Playing together is stronger. Each extra player adds 6 percent more.</t>
        </is>
      </c>
      <c r="F76" s="62">
        <f>INDEX(Economy!$B$16:$B$18,C76)</f>
        <v/>
      </c>
      <c r="G76" s="46" t="n">
        <v>1</v>
      </c>
    </row>
    <row r="77" ht="15" customHeight="1" s="33">
      <c r="A77" s="48" t="inlineStr">
        <is>
          <t>STEADY PULSE</t>
        </is>
      </c>
      <c r="B77" s="49" t="n">
        <v>50</v>
      </c>
      <c r="C77" s="49" t="n">
        <v>2</v>
      </c>
      <c r="D77" s="56" t="inlineStr">
        <is>
          <t>SteadyWindowBonus (ms)</t>
        </is>
      </c>
      <c r="E77" s="56" t="inlineStr">
        <is>
          <t>The PERFECT and GOOD timing windows are wider.</t>
        </is>
      </c>
      <c r="F77" s="63">
        <f>INDEX(Economy!$B$16:$B$18,C77)</f>
        <v/>
      </c>
      <c r="G77" s="49" t="n">
        <v>1</v>
      </c>
    </row>
    <row r="78" ht="15" customHeight="1" s="33">
      <c r="A78" s="45" t="inlineStr">
        <is>
          <t>ENCORE</t>
        </is>
      </c>
      <c r="B78" s="61" t="n">
        <v>0.15</v>
      </c>
      <c r="C78" s="46" t="n">
        <v>2</v>
      </c>
      <c r="D78" s="54" t="inlineStr">
        <is>
          <t>EncoreRecover</t>
        </is>
      </c>
      <c r="E78" s="54" t="inlineStr">
        <is>
          <t>After a win, 15 percent more breath comes back.</t>
        </is>
      </c>
      <c r="F78" s="62">
        <f>INDEX(Economy!$B$16:$B$18,C78)</f>
        <v/>
      </c>
      <c r="G78" s="46" t="n">
        <v>1</v>
      </c>
    </row>
    <row r="79" ht="15" customHeight="1" s="33">
      <c r="A79" s="48" t="inlineStr">
        <is>
          <t>RUBATO</t>
        </is>
      </c>
      <c r="B79" s="57" t="n">
        <v>0.85</v>
      </c>
      <c r="C79" s="49" t="n">
        <v>2</v>
      </c>
      <c r="D79" s="56" t="inlineStr">
        <is>
          <t>RubatoMissPower</t>
        </is>
      </c>
      <c r="E79" s="56" t="inlineStr">
        <is>
          <t>A MISS costs no extra breath and loses less power.</t>
        </is>
      </c>
      <c r="F79" s="63">
        <f>INDEX(Economy!$B$16:$B$18,C79)</f>
        <v/>
      </c>
      <c r="G79" s="49" t="n">
        <v>1</v>
      </c>
    </row>
    <row r="80" ht="15" customHeight="1" s="33">
      <c r="A80" s="45" t="inlineStr">
        <is>
          <t>CRESCENDO</t>
        </is>
      </c>
      <c r="B80" s="55" t="n">
        <v>2</v>
      </c>
      <c r="C80" s="46" t="n">
        <v>3</v>
      </c>
      <c r="D80" s="54" t="inlineStr">
        <is>
          <t>(combo ×2)</t>
        </is>
      </c>
      <c r="E80" s="54" t="inlineStr">
        <is>
          <t>The COMBO bonus grows twice as fast.</t>
        </is>
      </c>
      <c r="F80" s="62">
        <f>INDEX(Economy!$B$16:$B$18,C80)</f>
        <v/>
      </c>
      <c r="G80" s="46" t="n">
        <v>1</v>
      </c>
    </row>
    <row r="81" ht="15" customHeight="1" s="33">
      <c r="A81" s="48" t="inlineStr">
        <is>
          <t>SFORZANDO</t>
        </is>
      </c>
      <c r="B81" s="57" t="n">
        <v>1.2</v>
      </c>
      <c r="C81" s="49" t="n">
        <v>3</v>
      </c>
      <c r="D81" s="56" t="inlineStr">
        <is>
          <t>SforzandoPower</t>
        </is>
      </c>
      <c r="E81" s="56" t="inlineStr">
        <is>
          <t>A big stroke on an f note hits 20 percent harder.</t>
        </is>
      </c>
      <c r="F81" s="63">
        <f>INDEX(Economy!$B$16:$B$18,C81)</f>
        <v/>
      </c>
      <c r="G81" s="49" t="n">
        <v>1</v>
      </c>
    </row>
    <row r="82" ht="15" customHeight="1" s="33">
      <c r="A82" s="45" t="inlineStr">
        <is>
          <t>SECOND WIND</t>
        </is>
      </c>
      <c r="B82" s="61" t="n">
        <v>0.15</v>
      </c>
      <c r="C82" s="46" t="n">
        <v>3</v>
      </c>
      <c r="D82" s="54" t="inlineStr">
        <is>
          <t>SecondWindRefill</t>
        </is>
      </c>
      <c r="E82" s="54" t="inlineStr">
        <is>
          <t>Once per fight, when the band would collapse, 15 percent of its breath comes back.</t>
        </is>
      </c>
      <c r="F82" s="62">
        <f>INDEX(Economy!$B$16:$B$18,C82)</f>
        <v/>
      </c>
      <c r="G82" s="46" t="n">
        <v>1</v>
      </c>
    </row>
    <row r="83" ht="15" customHeight="1" s="33">
      <c r="A83" s="48" t="inlineStr">
        <is>
          <t>OVERTURE</t>
        </is>
      </c>
      <c r="B83" s="57" t="n">
        <v>1.5</v>
      </c>
      <c r="C83" s="49" t="n">
        <v>3</v>
      </c>
      <c r="D83" s="56" t="inlineStr">
        <is>
          <t>OverturePower</t>
        </is>
      </c>
      <c r="E83" s="56" t="inlineStr">
        <is>
          <t>The first beat of every round hits 50 percent harder.</t>
        </is>
      </c>
      <c r="F83" s="63">
        <f>INDEX(Economy!$B$16:$B$18,C83)</f>
        <v/>
      </c>
      <c r="G83" s="49" t="n">
        <v>1</v>
      </c>
    </row>
    <row r="84" ht="15" customHeight="1" s="33">
      <c r="A84" s="45" t="inlineStr">
        <is>
          <t>COUNTERPOINT</t>
        </is>
      </c>
      <c r="B84" s="55" t="n">
        <v>1.2</v>
      </c>
      <c r="C84" s="46" t="n">
        <v>3</v>
      </c>
      <c r="D84" s="54" t="inlineStr">
        <is>
          <t>CounterpointPower</t>
        </is>
      </c>
      <c r="E84" s="54" t="inlineStr">
        <is>
          <t>Against TACET's f notes, your answer hits 20 percent harder.</t>
        </is>
      </c>
      <c r="F84" s="62">
        <f>INDEX(Economy!$B$16:$B$18,C84)</f>
        <v/>
      </c>
      <c r="G84" s="46" t="n">
        <v>1</v>
      </c>
    </row>
    <row r="85" ht="15" customHeight="1" s="33">
      <c r="A85" s="48" t="inlineStr">
        <is>
          <t>ACCELERANDO</t>
        </is>
      </c>
      <c r="B85" s="49" t="n">
        <v>2</v>
      </c>
      <c r="C85" s="49" t="n">
        <v>1</v>
      </c>
      <c r="D85" s="56" t="inlineStr">
        <is>
          <t>AccelerandoCount</t>
        </is>
      </c>
      <c r="E85" s="56" t="inlineStr">
        <is>
          <t>Every shake in a TREMOLO counts twice.</t>
        </is>
      </c>
      <c r="F85" s="63">
        <f>INDEX(Economy!$B$16:$B$18,C85)</f>
        <v/>
      </c>
      <c r="G85" s="49" t="n">
        <v>1</v>
      </c>
    </row>
    <row r="86" ht="15" customHeight="1" s="33">
      <c r="A86" s="45" t="inlineStr">
        <is>
          <t>TENUTO</t>
        </is>
      </c>
      <c r="B86" s="46" t="n">
        <v>8</v>
      </c>
      <c r="C86" s="46" t="n">
        <v>1</v>
      </c>
      <c r="D86" s="54" t="inlineStr">
        <is>
          <t>TenutoRecover</t>
        </is>
      </c>
      <c r="E86" s="54" t="inlineStr">
        <is>
          <t>A FERMATA held to the end gives back 8 breath.</t>
        </is>
      </c>
      <c r="F86" s="62">
        <f>INDEX(Economy!$B$16:$B$18,C86)</f>
        <v/>
      </c>
      <c r="G86" s="46" t="n">
        <v>2</v>
      </c>
    </row>
    <row r="87" ht="15" customHeight="1" s="33">
      <c r="A87" s="48" t="inlineStr">
        <is>
          <t>GRACE NOTE</t>
        </is>
      </c>
      <c r="B87" s="57" t="n">
        <v>3</v>
      </c>
      <c r="C87" s="49" t="n">
        <v>2</v>
      </c>
      <c r="D87" s="56" t="inlineStr">
        <is>
          <t>GraceNotePower</t>
        </is>
      </c>
      <c r="E87" s="56" t="inlineStr">
        <is>
          <t>A spark that lands on time hits three times as hard.</t>
        </is>
      </c>
      <c r="F87" s="63">
        <f>INDEX(Economy!$B$16:$B$18,C87)</f>
        <v/>
      </c>
      <c r="G87" s="49" t="n">
        <v>2</v>
      </c>
    </row>
    <row r="88" ht="15" customHeight="1" s="33">
      <c r="A88" s="45" t="inlineStr">
        <is>
          <t>MARCATO</t>
        </is>
      </c>
      <c r="B88" s="46" t="n">
        <v>16</v>
      </c>
      <c r="C88" s="46" t="n">
        <v>2</v>
      </c>
      <c r="D88" s="54" t="inlineStr">
        <is>
          <t>MarcatoCap</t>
        </is>
      </c>
      <c r="E88" s="54" t="inlineStr">
        <is>
          <t>A COUNTER can push the line up to 16 in one beat, not just 8.</t>
        </is>
      </c>
      <c r="F88" s="62">
        <f>INDEX(Economy!$B$16:$B$18,C88)</f>
        <v/>
      </c>
      <c r="G88" s="46" t="n">
        <v>1</v>
      </c>
    </row>
    <row r="89" ht="15" customHeight="1" s="33">
      <c r="A89" s="48" t="inlineStr">
        <is>
          <t>CON BRIO</t>
        </is>
      </c>
      <c r="B89" s="49" t="n">
        <v>6</v>
      </c>
      <c r="C89" s="49" t="n">
        <v>3</v>
      </c>
      <c r="D89" s="56" t="inlineStr">
        <is>
          <t>ConBrioCombo</t>
        </is>
      </c>
      <c r="E89" s="56" t="inlineStr">
        <is>
          <t>FORTISSIMO lights after 6 PERFECTs in a row instead of 8.</t>
        </is>
      </c>
      <c r="F89" s="63">
        <f>INDEX(Economy!$B$16:$B$18,C89)</f>
        <v/>
      </c>
      <c r="G89" s="49" t="n">
        <v>1</v>
      </c>
    </row>
    <row r="90" ht="15" customHeight="1" s="33">
      <c r="A90" s="45" t="inlineStr">
        <is>
          <t>CODA</t>
        </is>
      </c>
      <c r="B90" s="46" t="n">
        <v>60</v>
      </c>
      <c r="C90" s="46" t="n">
        <v>3</v>
      </c>
      <c r="D90" s="54" t="inlineStr">
        <is>
          <t>CodaLine</t>
        </is>
      </c>
      <c r="E90" s="54" t="inlineStr">
        <is>
          <t>The FINALE is offered from +60 on the line instead of +80.</t>
        </is>
      </c>
      <c r="F90" s="62">
        <f>INDEX(Economy!$B$16:$B$18,C90)</f>
        <v/>
      </c>
      <c r="G90" s="46" t="n">
        <v>1</v>
      </c>
    </row>
    <row r="92" ht="21" customHeight="1" s="33">
      <c r="A92" s="40" t="inlineStr">
        <is>
          <t>Enemy Trait Matrix</t>
        </is>
      </c>
      <c r="B92" s="41" t="n"/>
      <c r="C92" s="41" t="n"/>
      <c r="D92" s="41" t="n"/>
      <c r="E92" s="42" t="n"/>
    </row>
    <row r="93" ht="18.75" customHeight="1" s="33">
      <c r="A93" s="53" t="inlineStr">
        <is>
          <t>กลไกศัตรูข้างทางเริ่มชั้น 2 · Elite/บอสเริ่มชั้น 1</t>
        </is>
      </c>
    </row>
    <row r="94" ht="15" customHeight="1" s="33">
      <c r="A94" s="43" t="inlineStr">
        <is>
          <t>Trait</t>
        </is>
      </c>
      <c r="B94" s="44" t="inlineStr">
        <is>
          <t>Value</t>
        </is>
      </c>
      <c r="C94" s="44" t="inlineStr">
        <is>
          <t>Enemy</t>
        </is>
      </c>
      <c r="D94" s="44" t="inlineStr">
        <is>
          <t>Code</t>
        </is>
      </c>
      <c r="E94" s="44" t="inlineStr">
        <is>
          <t>Notes / Mechanics</t>
        </is>
      </c>
    </row>
    <row r="95" ht="15" customHeight="1" s="33">
      <c r="A95" s="45" t="inlineStr">
        <is>
          <t>ECHO FADES</t>
        </is>
      </c>
      <c r="B95" s="54" t="inlineStr">
        <is>
          <t>-</t>
        </is>
      </c>
      <c r="C95" s="47" t="inlineStr">
        <is>
          <t>HUSH</t>
        </is>
      </c>
      <c r="D95" s="47" t="inlineStr">
        <is>
          <t>-</t>
        </is>
      </c>
      <c r="E95" s="47" t="inlineStr">
        <is>
          <t>ตัวอักษร f/mf/p บนโน้ตจางหายก่อนถึง ต้องจำ</t>
        </is>
      </c>
    </row>
    <row r="96" ht="15" customHeight="1" s="33">
      <c r="A96" s="48" t="inlineStr">
        <is>
          <t>FILLS THE GAPS</t>
        </is>
      </c>
      <c r="B96" s="57" t="n">
        <v>1.5</v>
      </c>
      <c r="C96" s="50" t="inlineStr">
        <is>
          <t>DEAD AIR</t>
        </is>
      </c>
      <c r="D96" s="50" t="inlineStr">
        <is>
          <t>FillsGapsPower</t>
        </is>
      </c>
      <c r="E96" s="50" t="inlineStr">
        <is>
          <t>โน้ตที่ MISS หรือปล่อยผ่าน แรง ×1.5</t>
        </is>
      </c>
    </row>
    <row r="97" ht="15" customHeight="1" s="33">
      <c r="A97" s="45" t="inlineStr">
        <is>
          <t>LULLABY (BPM slower)</t>
        </is>
      </c>
      <c r="B97" s="46" t="n">
        <v>8</v>
      </c>
      <c r="C97" s="47" t="inlineStr">
        <is>
          <t>THE LULL</t>
        </is>
      </c>
      <c r="D97" s="47" t="inlineStr">
        <is>
          <t>LullabySlower</t>
        </is>
      </c>
      <c r="E97" s="47" t="inlineStr">
        <is>
          <t>รอบ 3 ช้าลง 8 BPM ใต้รอบ 1 ของชั้น</t>
        </is>
      </c>
    </row>
    <row r="98" ht="15" customHeight="1" s="33">
      <c r="A98" s="48" t="inlineStr">
        <is>
          <t>FALSE NOTES</t>
        </is>
      </c>
      <c r="B98" s="56" t="inlineStr">
        <is>
          <t>-</t>
        </is>
      </c>
      <c r="C98" s="50" t="inlineStr">
        <is>
          <t>STATIC</t>
        </is>
      </c>
      <c r="D98" s="50" t="inlineStr">
        <is>
          <t>-</t>
        </is>
      </c>
      <c r="E98" s="50" t="inlineStr">
        <is>
          <t>โน้ต 1 ตัวต่อห้องแสดงความดังผิด</t>
        </is>
      </c>
    </row>
    <row r="99" ht="15" customHeight="1" s="33">
      <c r="A99" s="45" t="inlineStr">
        <is>
          <t>SILENT MOUTHS</t>
        </is>
      </c>
      <c r="B99" s="54" t="inlineStr">
        <is>
          <t>-</t>
        </is>
      </c>
      <c r="C99" s="47" t="inlineStr">
        <is>
          <t>THE MUTE CHOIR</t>
        </is>
      </c>
      <c r="D99" s="47" t="inlineStr">
        <is>
          <t>-</t>
        </is>
      </c>
      <c r="E99" s="47" t="inlineStr">
        <is>
          <t>ตั้งแต่รอบ 2 ปิดเสียงกลุ่มเครื่องหนึ่งกลุ่ม + โน้ตซ่อน ???</t>
        </is>
      </c>
    </row>
    <row r="100" ht="15" customHeight="1" s="33">
      <c r="A100" s="48" t="inlineStr">
        <is>
          <t>NO REST (rest share)</t>
        </is>
      </c>
      <c r="B100" s="60" t="n">
        <v>0.5</v>
      </c>
      <c r="C100" s="50" t="inlineStr">
        <is>
          <t>WHITE NOISE</t>
        </is>
      </c>
      <c r="D100" s="50" t="inlineStr">
        <is>
          <t>NoRestShare</t>
        </is>
      </c>
      <c r="E100" s="50" t="inlineStr">
        <is>
          <t>บีตเงียบคืนลมแค่ครึ่ง</t>
        </is>
      </c>
    </row>
    <row r="101" ht="15" customHeight="1" s="33">
      <c r="A101" s="45" t="inlineStr">
        <is>
          <t>UNFINISHED (BPM faster)</t>
        </is>
      </c>
      <c r="B101" s="46" t="n">
        <v>12</v>
      </c>
      <c r="C101" s="47" t="inlineStr">
        <is>
          <t>REQUIEM</t>
        </is>
      </c>
      <c r="D101" s="47" t="inlineStr">
        <is>
          <t>UnfinishedFaster</t>
        </is>
      </c>
      <c r="E101" s="47" t="inlineStr">
        <is>
          <t>รอบ 3 เล่นย้อนกลับ เร็วขึ้น 12 BPM + สลับซ้ายขวา</t>
        </is>
      </c>
    </row>
    <row r="102" ht="15" customHeight="1" s="33">
      <c r="A102" s="48" t="inlineStr">
        <is>
          <t>ANSWER BETTER (mirror)</t>
        </is>
      </c>
      <c r="B102" s="60" t="n">
        <v>0.8</v>
      </c>
      <c r="C102" s="50" t="inlineStr">
        <is>
          <t>THE NAMELESS MASTER</t>
        </is>
      </c>
      <c r="D102" s="50" t="inlineStr">
        <is>
          <t>MirrorScale</t>
        </is>
      </c>
      <c r="E102" s="50" t="inlineStr">
        <is>
          <t>ตั้งแต่รอบ 2 เล่นรอบที่แล้วของเราย้อนใส่ที่ 80%</t>
        </is>
      </c>
    </row>
    <row r="103" ht="15" customHeight="1" s="33">
      <c r="A103" s="45" t="inlineStr">
        <is>
          <t>THE BARGAIN : power</t>
        </is>
      </c>
      <c r="B103" s="55" t="n">
        <v>1.5</v>
      </c>
      <c r="C103" s="47" t="inlineStr">
        <is>
          <t>THE DEVIL'S STRING</t>
        </is>
      </c>
      <c r="D103" s="47" t="inlineStr">
        <is>
          <t>BargainPower</t>
        </is>
      </c>
      <c r="E103" s="47" t="inlineStr">
        <is>
          <t>ก่อนรอบ 2 เสนอดีล : แรง ×1.5 ในรอบนี้</t>
        </is>
      </c>
    </row>
    <row r="104" ht="15" customHeight="1" s="33">
      <c r="A104" s="48" t="inlineStr">
        <is>
          <t>THE BARGAIN : breath cost</t>
        </is>
      </c>
      <c r="B104" s="49" t="n">
        <v>15</v>
      </c>
      <c r="C104" s="50" t="inlineStr">
        <is>
          <t>THE DEVIL'S STRING</t>
        </is>
      </c>
      <c r="D104" s="50" t="inlineStr">
        <is>
          <t>BargainStamina</t>
        </is>
      </c>
      <c r="E104" s="50" t="inlineStr">
        <is>
          <t>แลกลมสูงสุด −15 ทั้งรัน</t>
        </is>
      </c>
    </row>
  </sheetData>
  <mergeCells count="9">
    <mergeCell ref="A39:E39"/>
    <mergeCell ref="A20:E20"/>
    <mergeCell ref="A38:E38"/>
    <mergeCell ref="A54:E54"/>
    <mergeCell ref="A67:G67"/>
    <mergeCell ref="A1:E1"/>
    <mergeCell ref="A93:E93"/>
    <mergeCell ref="A68:G68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0" customWidth="1" style="32" min="1" max="1"/>
    <col width="12" customWidth="1" style="32" min="2" max="4"/>
    <col width="14" customWidth="1" style="32" min="5" max="7"/>
    <col width="40" customWidth="1" style="32" min="8" max="8"/>
  </cols>
  <sheetData>
    <row r="1" ht="30" customHeight="1" s="33">
      <c r="A1" s="39" t="inlineStr">
        <is>
          <t>Difficulty Curve  —  NORMAL / MAESTRO</t>
        </is>
      </c>
    </row>
    <row r="3" ht="21" customHeight="1" s="33">
      <c r="A3" s="40" t="inlineStr">
        <is>
          <t>Tempo (BPM)</t>
        </is>
      </c>
      <c r="B3" s="41" t="n"/>
      <c r="C3" s="41" t="n"/>
      <c r="D3" s="41" t="n"/>
      <c r="E3" s="41" t="n"/>
      <c r="F3" s="41" t="n"/>
      <c r="G3" s="41" t="n"/>
      <c r="H3" s="42" t="n"/>
    </row>
    <row r="4" ht="18.75" customHeight="1" s="33">
      <c r="A4" s="53" t="inlineStr">
        <is>
          <t>ดวลเร็วขึ้นทุกรอบ และทุกชั้น · ms/beat = 60000 ÷ BPM (เวลาระหว่างบีต)</t>
        </is>
      </c>
    </row>
    <row r="5" ht="15" customHeight="1" s="33">
      <c r="A5" s="43" t="inlineStr">
        <is>
          <t>Mode / Floor</t>
        </is>
      </c>
      <c r="B5" s="44" t="inlineStr">
        <is>
          <t>Round 1</t>
        </is>
      </c>
      <c r="C5" s="44" t="inlineStr">
        <is>
          <t>Round 2</t>
        </is>
      </c>
      <c r="D5" s="44" t="inlineStr">
        <is>
          <t>Round 3</t>
        </is>
      </c>
      <c r="E5" s="44" t="inlineStr">
        <is>
          <t>R1 ms/beat</t>
        </is>
      </c>
      <c r="F5" s="44" t="inlineStr">
        <is>
          <t>R2 ms/beat</t>
        </is>
      </c>
      <c r="G5" s="44" t="inlineStr">
        <is>
          <t>R3 ms/beat</t>
        </is>
      </c>
      <c r="H5" s="44" t="inlineStr">
        <is>
          <t>Notes</t>
        </is>
      </c>
    </row>
    <row r="6" ht="15" customHeight="1" s="33">
      <c r="A6" s="45" t="inlineStr">
        <is>
          <t>NORMAL · Floor 1</t>
        </is>
      </c>
      <c r="B6" s="46" t="n">
        <v>70</v>
      </c>
      <c r="C6" s="46" t="n">
        <v>76</v>
      </c>
      <c r="D6" s="46" t="n">
        <v>84</v>
      </c>
      <c r="E6" s="46">
        <f>60000/B6</f>
        <v/>
      </c>
      <c r="F6" s="46">
        <f>60000/C6</f>
        <v/>
      </c>
      <c r="G6" s="46">
        <f>60000/D6</f>
        <v/>
      </c>
      <c r="H6" s="54" t="inlineStr">
        <is>
          <t>TempoByFloor</t>
        </is>
      </c>
    </row>
    <row r="7" ht="15" customHeight="1" s="33">
      <c r="A7" s="48" t="inlineStr">
        <is>
          <t>NORMAL · Floor 2</t>
        </is>
      </c>
      <c r="B7" s="49" t="n">
        <v>80</v>
      </c>
      <c r="C7" s="49" t="n">
        <v>90</v>
      </c>
      <c r="D7" s="49" t="n">
        <v>100</v>
      </c>
      <c r="E7" s="49">
        <f>60000/B7</f>
        <v/>
      </c>
      <c r="F7" s="49">
        <f>60000/C7</f>
        <v/>
      </c>
      <c r="G7" s="49">
        <f>60000/D7</f>
        <v/>
      </c>
      <c r="H7" s="56" t="inlineStr">
        <is>
          <t>TempoByFloor</t>
        </is>
      </c>
    </row>
    <row r="8" ht="15" customHeight="1" s="33">
      <c r="A8" s="45" t="inlineStr">
        <is>
          <t>NORMAL · Floor 3</t>
        </is>
      </c>
      <c r="B8" s="46" t="n">
        <v>88</v>
      </c>
      <c r="C8" s="46" t="n">
        <v>100</v>
      </c>
      <c r="D8" s="46" t="n">
        <v>112</v>
      </c>
      <c r="E8" s="46">
        <f>60000/B8</f>
        <v/>
      </c>
      <c r="F8" s="46">
        <f>60000/C8</f>
        <v/>
      </c>
      <c r="G8" s="46">
        <f>60000/D8</f>
        <v/>
      </c>
      <c r="H8" s="54" t="inlineStr">
        <is>
          <t>TempoByFloor</t>
        </is>
      </c>
    </row>
    <row r="9" ht="15" customHeight="1" s="33">
      <c r="A9" s="48" t="inlineStr">
        <is>
          <t>MAESTRO · Floor 1</t>
        </is>
      </c>
      <c r="B9" s="49" t="n">
        <v>96</v>
      </c>
      <c r="C9" s="49" t="n">
        <v>112</v>
      </c>
      <c r="D9" s="49" t="n">
        <v>128</v>
      </c>
      <c r="E9" s="49">
        <f>60000/B9</f>
        <v/>
      </c>
      <c r="F9" s="49">
        <f>60000/C9</f>
        <v/>
      </c>
      <c r="G9" s="49">
        <f>60000/D9</f>
        <v/>
      </c>
      <c r="H9" s="56" t="inlineStr">
        <is>
          <t>MaestroTempo</t>
        </is>
      </c>
    </row>
    <row r="10" ht="15" customHeight="1" s="33">
      <c r="A10" s="45" t="inlineStr">
        <is>
          <t>MAESTRO · Floor 2</t>
        </is>
      </c>
      <c r="B10" s="46" t="n">
        <v>96</v>
      </c>
      <c r="C10" s="46" t="n">
        <v>112</v>
      </c>
      <c r="D10" s="46" t="n">
        <v>128</v>
      </c>
      <c r="E10" s="46">
        <f>60000/B10</f>
        <v/>
      </c>
      <c r="F10" s="46">
        <f>60000/C10</f>
        <v/>
      </c>
      <c r="G10" s="46">
        <f>60000/D10</f>
        <v/>
      </c>
      <c r="H10" s="54" t="inlineStr">
        <is>
          <t>MaestroTempo</t>
        </is>
      </c>
    </row>
    <row r="11" ht="15" customHeight="1" s="33">
      <c r="A11" s="48" t="inlineStr">
        <is>
          <t>MAESTRO · Floor 3</t>
        </is>
      </c>
      <c r="B11" s="49" t="n">
        <v>96</v>
      </c>
      <c r="C11" s="49" t="n">
        <v>112</v>
      </c>
      <c r="D11" s="49" t="n">
        <v>128</v>
      </c>
      <c r="E11" s="49">
        <f>60000/B11</f>
        <v/>
      </c>
      <c r="F11" s="49">
        <f>60000/C11</f>
        <v/>
      </c>
      <c r="G11" s="49">
        <f>60000/D11</f>
        <v/>
      </c>
      <c r="H11" s="56" t="inlineStr">
        <is>
          <t>MaestroTempo</t>
        </is>
      </c>
    </row>
    <row r="13" ht="21" customHeight="1" s="33">
      <c r="A13" s="40" t="inlineStr">
        <is>
          <t>Mode Differences</t>
        </is>
      </c>
      <c r="B13" s="41" t="n"/>
      <c r="C13" s="41" t="n"/>
      <c r="D13" s="42" t="n"/>
    </row>
    <row r="14" ht="15" customHeight="1" s="33">
      <c r="A14" s="43" t="inlineStr">
        <is>
          <t>Parameter</t>
        </is>
      </c>
      <c r="B14" s="44" t="inlineStr">
        <is>
          <t>NORMAL</t>
        </is>
      </c>
      <c r="C14" s="44" t="inlineStr">
        <is>
          <t>MAESTRO</t>
        </is>
      </c>
      <c r="D14" s="44" t="inlineStr">
        <is>
          <t>Notes</t>
        </is>
      </c>
    </row>
    <row r="15" ht="15" customHeight="1" s="33">
      <c r="A15" s="45" t="inlineStr">
        <is>
          <t>Gentle fights (TACET plays only f and p)</t>
        </is>
      </c>
      <c r="B15" s="46" t="n">
        <v>3</v>
      </c>
      <c r="C15" s="46" t="n">
        <v>0</v>
      </c>
      <c r="D15" s="47" t="inlineStr">
        <is>
          <t>ดวลแรกๆ ของรัน ไม่มี mf · GENTLE เล่นแค่บีต 1 กับ 3</t>
        </is>
      </c>
    </row>
    <row r="16" ht="15" customHeight="1" s="33">
      <c r="A16" s="48" t="inlineStr">
        <is>
          <t>Rolls (TREMOLO) from floor</t>
        </is>
      </c>
      <c r="B16" s="49" t="n">
        <v>1</v>
      </c>
      <c r="C16" s="49" t="n">
        <v>1</v>
      </c>
      <c r="D16" s="50" t="inlineStr">
        <is>
          <t>NORMAL : เฉพาะ Elite/บอสในชั้น 1</t>
        </is>
      </c>
    </row>
    <row r="17" ht="15" customHeight="1" s="33">
      <c r="A17" s="45" t="inlineStr">
        <is>
          <t>Held notes (FERMATA) from floor</t>
        </is>
      </c>
      <c r="B17" s="46" t="n">
        <v>2</v>
      </c>
      <c r="C17" s="46" t="n">
        <v>1</v>
      </c>
      <c r="D17" s="47" t="inlineStr">
        <is>
          <t>ศัตรูธรรมดา</t>
        </is>
      </c>
    </row>
    <row r="18" ht="15" customHeight="1" s="33">
      <c r="A18" s="48" t="inlineStr">
        <is>
          <t>Pairs (SPARK) from floor</t>
        </is>
      </c>
      <c r="B18" s="49" t="n">
        <v>2</v>
      </c>
      <c r="C18" s="49" t="n">
        <v>1</v>
      </c>
      <c r="D18" s="50" t="n"/>
    </row>
    <row r="19" ht="15" customHeight="1" s="33">
      <c r="A19" s="45" t="inlineStr">
        <is>
          <t>PERFECT window (± ms)</t>
        </is>
      </c>
      <c r="B19" s="46" t="n">
        <v>100</v>
      </c>
      <c r="C19" s="46" t="n">
        <v>80</v>
      </c>
      <c r="D19" s="47" t="n"/>
    </row>
    <row r="20" ht="15" customHeight="1" s="33">
      <c r="A20" s="48" t="inlineStr">
        <is>
          <t>GOOD window (± ms)</t>
        </is>
      </c>
      <c r="B20" s="49" t="n">
        <v>220</v>
      </c>
      <c r="C20" s="49" t="n">
        <v>180</v>
      </c>
      <c r="D20" s="50" t="n"/>
    </row>
    <row r="21" ht="15" customHeight="1" s="33">
      <c r="A21" s="45" t="inlineStr">
        <is>
          <t>Wrong size keeps</t>
        </is>
      </c>
      <c r="B21" s="61" t="n">
        <v>0.5</v>
      </c>
      <c r="C21" s="61" t="n">
        <v>0.3</v>
      </c>
      <c r="D21" s="47" t="inlineStr">
        <is>
          <t>⚠️ ยังรอผู้ใช้ตัดสิน : NORMAL 50% ทำให้ฟาดใหญ่ทุกโน้ตชนะ 77% ในตัวจำลอง</t>
        </is>
      </c>
    </row>
    <row r="22" ht="15" customHeight="1" s="33">
      <c r="A22" s="48" t="inlineStr">
        <is>
          <t>Shakes for a PERFECT roll</t>
        </is>
      </c>
      <c r="B22" s="49" t="n">
        <v>5</v>
      </c>
      <c r="C22" s="49" t="n">
        <v>6</v>
      </c>
      <c r="D22" s="50" t="n"/>
    </row>
    <row r="23" ht="15" customHeight="1" s="33">
      <c r="A23" s="45" t="inlineStr">
        <is>
          <t>Floor power F1</t>
        </is>
      </c>
      <c r="B23" s="51">
        <f>'Entity Tuning'!$B$41</f>
        <v/>
      </c>
      <c r="C23" s="51">
        <f>'Entity Tuning'!$B$42</f>
        <v/>
      </c>
      <c r="D23" s="47" t="inlineStr">
        <is>
          <t>จากแท็บ Entity Tuning</t>
        </is>
      </c>
    </row>
    <row r="24" ht="15" customHeight="1" s="33">
      <c r="A24" s="48" t="inlineStr">
        <is>
          <t>Floor power F2</t>
        </is>
      </c>
      <c r="B24" s="52">
        <f>'Entity Tuning'!$C$41</f>
        <v/>
      </c>
      <c r="C24" s="52">
        <f>'Entity Tuning'!$C$42</f>
        <v/>
      </c>
      <c r="D24" s="50" t="n"/>
    </row>
    <row r="25" ht="15" customHeight="1" s="33">
      <c r="A25" s="45" t="inlineStr">
        <is>
          <t>Floor power F3</t>
        </is>
      </c>
      <c r="B25" s="51">
        <f>'Entity Tuning'!$D$41</f>
        <v/>
      </c>
      <c r="C25" s="51">
        <f>'Entity Tuning'!$D$42</f>
        <v/>
      </c>
      <c r="D25" s="47" t="n"/>
    </row>
    <row r="27" ht="21" customHeight="1" s="33">
      <c r="A27" s="40" t="inlineStr">
        <is>
          <t>Enemy Note Power by Floor (mf note · from Entity Tuning)</t>
        </is>
      </c>
      <c r="B27" s="41" t="n"/>
      <c r="C27" s="41" t="n"/>
      <c r="D27" s="41" t="n"/>
      <c r="E27" s="41" t="n"/>
      <c r="F27" s="41" t="n"/>
      <c r="G27" s="41" t="n"/>
      <c r="H27" s="42" t="n"/>
    </row>
    <row r="28" ht="18.75" customHeight="1" s="33">
      <c r="A28" s="53" t="inlineStr">
        <is>
          <t>โน้ต f = ×2 · p = ×0.5 · ใช้ดูว่าแต่ละชั้นศัตรูแรงขึ้นแค่ไหน</t>
        </is>
      </c>
    </row>
    <row r="29" ht="15" customHeight="1" s="33">
      <c r="A29" s="43" t="inlineStr">
        <is>
          <t>Enemy</t>
        </is>
      </c>
      <c r="B29" s="44" t="inlineStr">
        <is>
          <t>NORMAL F1</t>
        </is>
      </c>
      <c r="C29" s="44" t="inlineStr">
        <is>
          <t>NORMAL F2</t>
        </is>
      </c>
      <c r="D29" s="44" t="inlineStr">
        <is>
          <t>NORMAL F3</t>
        </is>
      </c>
      <c r="E29" s="44" t="inlineStr">
        <is>
          <t>MAESTRO F1</t>
        </is>
      </c>
      <c r="F29" s="44" t="inlineStr">
        <is>
          <t>MAESTRO F2</t>
        </is>
      </c>
      <c r="G29" s="44" t="inlineStr">
        <is>
          <t>MAESTRO F3</t>
        </is>
      </c>
      <c r="H29" s="44" t="inlineStr">
        <is>
          <t>Kind</t>
        </is>
      </c>
    </row>
    <row r="30" ht="15" customHeight="1" s="33">
      <c r="A30" s="45" t="inlineStr">
        <is>
          <t>HUSH</t>
        </is>
      </c>
      <c r="B30" s="46">
        <f>'Entity Tuning'!F47</f>
        <v/>
      </c>
      <c r="C30" s="46">
        <f>'Entity Tuning'!G47</f>
        <v/>
      </c>
      <c r="D30" s="46">
        <f>'Entity Tuning'!H47</f>
        <v/>
      </c>
      <c r="E30" s="46">
        <f>'Entity Tuning'!I47</f>
        <v/>
      </c>
      <c r="F30" s="46">
        <f>'Entity Tuning'!J47</f>
        <v/>
      </c>
      <c r="G30" s="46">
        <f>'Entity Tuning'!K47</f>
        <v/>
      </c>
      <c r="H30" s="54">
        <f>'Entity Tuning'!B47</f>
        <v/>
      </c>
    </row>
    <row r="31" ht="15" customHeight="1" s="33">
      <c r="A31" s="48" t="inlineStr">
        <is>
          <t>DEAD AIR</t>
        </is>
      </c>
      <c r="B31" s="49">
        <f>'Entity Tuning'!F48</f>
        <v/>
      </c>
      <c r="C31" s="49">
        <f>'Entity Tuning'!G48</f>
        <v/>
      </c>
      <c r="D31" s="49">
        <f>'Entity Tuning'!H48</f>
        <v/>
      </c>
      <c r="E31" s="49">
        <f>'Entity Tuning'!I48</f>
        <v/>
      </c>
      <c r="F31" s="49">
        <f>'Entity Tuning'!J48</f>
        <v/>
      </c>
      <c r="G31" s="49">
        <f>'Entity Tuning'!K48</f>
        <v/>
      </c>
      <c r="H31" s="56">
        <f>'Entity Tuning'!B48</f>
        <v/>
      </c>
    </row>
    <row r="32" ht="15" customHeight="1" s="33">
      <c r="A32" s="45" t="inlineStr">
        <is>
          <t>THE LULL</t>
        </is>
      </c>
      <c r="B32" s="46">
        <f>'Entity Tuning'!F49</f>
        <v/>
      </c>
      <c r="C32" s="46">
        <f>'Entity Tuning'!G49</f>
        <v/>
      </c>
      <c r="D32" s="46">
        <f>'Entity Tuning'!H49</f>
        <v/>
      </c>
      <c r="E32" s="46">
        <f>'Entity Tuning'!I49</f>
        <v/>
      </c>
      <c r="F32" s="46">
        <f>'Entity Tuning'!J49</f>
        <v/>
      </c>
      <c r="G32" s="46">
        <f>'Entity Tuning'!K49</f>
        <v/>
      </c>
      <c r="H32" s="54">
        <f>'Entity Tuning'!B49</f>
        <v/>
      </c>
    </row>
    <row r="33" ht="15" customHeight="1" s="33">
      <c r="A33" s="48" t="inlineStr">
        <is>
          <t>STATIC</t>
        </is>
      </c>
      <c r="B33" s="49">
        <f>'Entity Tuning'!F50</f>
        <v/>
      </c>
      <c r="C33" s="49">
        <f>'Entity Tuning'!G50</f>
        <v/>
      </c>
      <c r="D33" s="49">
        <f>'Entity Tuning'!H50</f>
        <v/>
      </c>
      <c r="E33" s="49">
        <f>'Entity Tuning'!I50</f>
        <v/>
      </c>
      <c r="F33" s="49">
        <f>'Entity Tuning'!J50</f>
        <v/>
      </c>
      <c r="G33" s="49">
        <f>'Entity Tuning'!K50</f>
        <v/>
      </c>
      <c r="H33" s="56">
        <f>'Entity Tuning'!B50</f>
        <v/>
      </c>
    </row>
    <row r="34" ht="15" customHeight="1" s="33">
      <c r="A34" s="45" t="inlineStr">
        <is>
          <t>THE MUTE CHOIR</t>
        </is>
      </c>
      <c r="B34" s="46">
        <f>'Entity Tuning'!F51</f>
        <v/>
      </c>
      <c r="C34" s="46">
        <f>'Entity Tuning'!G51</f>
        <v/>
      </c>
      <c r="D34" s="46">
        <f>'Entity Tuning'!H51</f>
        <v/>
      </c>
      <c r="E34" s="46">
        <f>'Entity Tuning'!I51</f>
        <v/>
      </c>
      <c r="F34" s="46">
        <f>'Entity Tuning'!J51</f>
        <v/>
      </c>
      <c r="G34" s="46">
        <f>'Entity Tuning'!K51</f>
        <v/>
      </c>
      <c r="H34" s="54">
        <f>'Entity Tuning'!B51</f>
        <v/>
      </c>
    </row>
    <row r="35" ht="15" customHeight="1" s="33">
      <c r="A35" s="48" t="inlineStr">
        <is>
          <t>WHITE NOISE</t>
        </is>
      </c>
      <c r="B35" s="49">
        <f>'Entity Tuning'!F52</f>
        <v/>
      </c>
      <c r="C35" s="49">
        <f>'Entity Tuning'!G52</f>
        <v/>
      </c>
      <c r="D35" s="49">
        <f>'Entity Tuning'!H52</f>
        <v/>
      </c>
      <c r="E35" s="49">
        <f>'Entity Tuning'!I52</f>
        <v/>
      </c>
      <c r="F35" s="49">
        <f>'Entity Tuning'!J52</f>
        <v/>
      </c>
      <c r="G35" s="49">
        <f>'Entity Tuning'!K52</f>
        <v/>
      </c>
      <c r="H35" s="56">
        <f>'Entity Tuning'!B52</f>
        <v/>
      </c>
    </row>
    <row r="36" ht="15" customHeight="1" s="33">
      <c r="A36" s="45" t="inlineStr">
        <is>
          <t>REQUIEM</t>
        </is>
      </c>
      <c r="B36" s="46">
        <f>'Entity Tuning'!F53</f>
        <v/>
      </c>
      <c r="C36" s="46">
        <f>'Entity Tuning'!G53</f>
        <v/>
      </c>
      <c r="D36" s="46">
        <f>'Entity Tuning'!H53</f>
        <v/>
      </c>
      <c r="E36" s="46">
        <f>'Entity Tuning'!I53</f>
        <v/>
      </c>
      <c r="F36" s="46">
        <f>'Entity Tuning'!J53</f>
        <v/>
      </c>
      <c r="G36" s="46">
        <f>'Entity Tuning'!K53</f>
        <v/>
      </c>
      <c r="H36" s="54">
        <f>'Entity Tuning'!B53</f>
        <v/>
      </c>
    </row>
    <row r="37" ht="15" customHeight="1" s="33">
      <c r="A37" s="48" t="inlineStr">
        <is>
          <t>THE NAMELESS MASTER</t>
        </is>
      </c>
      <c r="B37" s="49">
        <f>'Entity Tuning'!F54</f>
        <v/>
      </c>
      <c r="C37" s="49">
        <f>'Entity Tuning'!G54</f>
        <v/>
      </c>
      <c r="D37" s="49">
        <f>'Entity Tuning'!H54</f>
        <v/>
      </c>
      <c r="E37" s="49">
        <f>'Entity Tuning'!I54</f>
        <v/>
      </c>
      <c r="F37" s="49">
        <f>'Entity Tuning'!J54</f>
        <v/>
      </c>
      <c r="G37" s="49">
        <f>'Entity Tuning'!K54</f>
        <v/>
      </c>
      <c r="H37" s="56">
        <f>'Entity Tuning'!B54</f>
        <v/>
      </c>
    </row>
    <row r="38" ht="15" customHeight="1" s="33">
      <c r="A38" s="45" t="inlineStr">
        <is>
          <t>THE DEVIL'S STRING</t>
        </is>
      </c>
      <c r="B38" s="46">
        <f>'Entity Tuning'!F55</f>
        <v/>
      </c>
      <c r="C38" s="46">
        <f>'Entity Tuning'!G55</f>
        <v/>
      </c>
      <c r="D38" s="46">
        <f>'Entity Tuning'!H55</f>
        <v/>
      </c>
      <c r="E38" s="46">
        <f>'Entity Tuning'!I55</f>
        <v/>
      </c>
      <c r="F38" s="46">
        <f>'Entity Tuning'!J55</f>
        <v/>
      </c>
      <c r="G38" s="46">
        <f>'Entity Tuning'!K55</f>
        <v/>
      </c>
      <c r="H38" s="54">
        <f>'Entity Tuning'!B55</f>
        <v/>
      </c>
    </row>
  </sheetData>
  <mergeCells count="6">
    <mergeCell ref="A4:H4"/>
    <mergeCell ref="A3:H3"/>
    <mergeCell ref="A28:H28"/>
    <mergeCell ref="A1:H1"/>
    <mergeCell ref="A27:H27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D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32" min="1" max="1"/>
    <col width="12" customWidth="1" style="32" min="2" max="2"/>
    <col width="22" customWidth="1" style="32" min="3" max="3"/>
    <col width="50" customWidth="1" style="32" min="4" max="4"/>
  </cols>
  <sheetData>
    <row r="1" ht="30" customHeight="1" s="33">
      <c r="A1" s="39" t="inlineStr">
        <is>
          <t>Economy  —  Shards · Shop · Rest · Rewards</t>
        </is>
      </c>
    </row>
    <row r="3" ht="21" customHeight="1" s="33">
      <c r="A3" s="40" t="inlineStr">
        <is>
          <t>Rewards</t>
        </is>
      </c>
      <c r="B3" s="41" t="n"/>
      <c r="C3" s="41" t="n"/>
      <c r="D3" s="42" t="n"/>
    </row>
    <row r="4" ht="15" customHeight="1" s="33">
      <c r="A4" s="43" t="inlineStr">
        <is>
          <t>Parameter</t>
        </is>
      </c>
      <c r="B4" s="44" t="inlineStr">
        <is>
          <t>Value</t>
        </is>
      </c>
      <c r="C4" s="44" t="inlineStr">
        <is>
          <t>Code</t>
        </is>
      </c>
      <c r="D4" s="44" t="inlineStr">
        <is>
          <t>Notes</t>
        </is>
      </c>
    </row>
    <row r="5" ht="15" customHeight="1" s="33">
      <c r="A5" s="45" t="inlineStr">
        <is>
          <t>Shards : normal win</t>
        </is>
      </c>
      <c r="B5" s="46" t="n">
        <v>20</v>
      </c>
      <c r="C5" s="47" t="inlineStr">
        <is>
          <t>ShardsNormal</t>
        </is>
      </c>
      <c r="D5" s="47" t="n"/>
    </row>
    <row r="6" ht="15" customHeight="1" s="33">
      <c r="A6" s="48" t="inlineStr">
        <is>
          <t>Shards : elite win</t>
        </is>
      </c>
      <c r="B6" s="49" t="n">
        <v>40</v>
      </c>
      <c r="C6" s="50" t="inlineStr">
        <is>
          <t>ShardsElite</t>
        </is>
      </c>
      <c r="D6" s="50" t="n"/>
    </row>
    <row r="7" ht="15" customHeight="1" s="33">
      <c r="A7" s="45" t="inlineStr">
        <is>
          <t>Shards : boss win</t>
        </is>
      </c>
      <c r="B7" s="46" t="n">
        <v>80</v>
      </c>
      <c r="C7" s="47" t="inlineStr">
        <is>
          <t>ShardsBoss</t>
        </is>
      </c>
      <c r="D7" s="47" t="n"/>
    </row>
    <row r="8" ht="15" customHeight="1" s="33">
      <c r="A8" s="48" t="inlineStr">
        <is>
          <t>Shards per PERFECT</t>
        </is>
      </c>
      <c r="B8" s="49" t="n">
        <v>1</v>
      </c>
      <c r="C8" s="50" t="inlineStr">
        <is>
          <t>ShardsPerPerfect</t>
        </is>
      </c>
      <c r="D8" s="50" t="n"/>
    </row>
    <row r="9" ht="15" customHeight="1" s="33">
      <c r="A9" s="45" t="inlineStr">
        <is>
          <t>Motif offered after normal win</t>
        </is>
      </c>
      <c r="B9" s="61" t="n">
        <v>0.6</v>
      </c>
      <c r="C9" s="47" t="inlineStr">
        <is>
          <t>MotifChanceNormal</t>
        </is>
      </c>
      <c r="D9" s="47" t="inlineStr">
        <is>
          <t>Elite/บอสได้เสนอทุกครั้ง</t>
        </is>
      </c>
    </row>
    <row r="10" ht="15" customHeight="1" s="33">
      <c r="A10" s="48" t="inlineStr">
        <is>
          <t>Motif choices</t>
        </is>
      </c>
      <c r="B10" s="49" t="n">
        <v>3</v>
      </c>
      <c r="C10" s="50" t="inlineStr">
        <is>
          <t>MotifChoices</t>
        </is>
      </c>
      <c r="D10" s="50" t="inlineStr">
        <is>
          <t>เลือก 1 จาก 3</t>
        </is>
      </c>
    </row>
    <row r="11" ht="15" customHeight="1" s="33">
      <c r="A11" s="45" t="inlineStr">
        <is>
          <t>Skip motif pays</t>
        </is>
      </c>
      <c r="B11" s="46" t="n">
        <v>15</v>
      </c>
      <c r="C11" s="47" t="inlineStr">
        <is>
          <t>SkipMotifShards</t>
        </is>
      </c>
      <c r="D11" s="47" t="n"/>
    </row>
    <row r="12" ht="15" customHeight="1" s="33">
      <c r="A12" s="48" t="inlineStr">
        <is>
          <t>Elite drops a musician</t>
        </is>
      </c>
      <c r="B12" s="60" t="n">
        <v>0.5</v>
      </c>
      <c r="C12" s="50" t="inlineStr">
        <is>
          <t>EliteRecruitChance</t>
        </is>
      </c>
      <c r="D12" s="50" t="n"/>
    </row>
    <row r="14" ht="21" customHeight="1" s="33">
      <c r="A14" s="40" t="inlineStr">
        <is>
          <t>Motif Prices (by rarity)</t>
        </is>
      </c>
      <c r="B14" s="41" t="n"/>
      <c r="C14" s="41" t="n"/>
      <c r="D14" s="42" t="n"/>
    </row>
    <row r="15" ht="15" customHeight="1" s="33">
      <c r="A15" s="43" t="inlineStr">
        <is>
          <t>Rarity</t>
        </is>
      </c>
      <c r="B15" s="44" t="inlineStr">
        <is>
          <t>Price</t>
        </is>
      </c>
      <c r="C15" s="44" t="inlineStr">
        <is>
          <t>Code</t>
        </is>
      </c>
      <c r="D15" s="44" t="inlineStr">
        <is>
          <t>Notes</t>
        </is>
      </c>
    </row>
    <row r="16" ht="15" customHeight="1" s="33">
      <c r="A16" s="45" t="inlineStr">
        <is>
          <t>1 · COMMON</t>
        </is>
      </c>
      <c r="B16" s="46" t="n">
        <v>45</v>
      </c>
      <c r="C16" s="47" t="inlineStr">
        <is>
          <t>MotifPrice[1]</t>
        </is>
      </c>
      <c r="D16" s="47" t="n"/>
    </row>
    <row r="17" ht="15" customHeight="1" s="33">
      <c r="A17" s="48" t="inlineStr">
        <is>
          <t>2 · RARE</t>
        </is>
      </c>
      <c r="B17" s="49" t="n">
        <v>70</v>
      </c>
      <c r="C17" s="50" t="inlineStr">
        <is>
          <t>MotifPrice[2]</t>
        </is>
      </c>
      <c r="D17" s="50" t="n"/>
    </row>
    <row r="18" ht="15" customHeight="1" s="33">
      <c r="A18" s="45" t="inlineStr">
        <is>
          <t>3 · TREASURED</t>
        </is>
      </c>
      <c r="B18" s="46" t="n">
        <v>100</v>
      </c>
      <c r="C18" s="47" t="inlineStr">
        <is>
          <t>MotifPrice[3]</t>
        </is>
      </c>
      <c r="D18" s="47" t="n"/>
    </row>
    <row r="20" ht="21" customHeight="1" s="33">
      <c r="A20" s="40" t="inlineStr">
        <is>
          <t>Shop</t>
        </is>
      </c>
      <c r="B20" s="41" t="n"/>
      <c r="C20" s="41" t="n"/>
      <c r="D20" s="42" t="n"/>
    </row>
    <row r="21" ht="15" customHeight="1" s="33">
      <c r="A21" s="43" t="inlineStr">
        <is>
          <t>Parameter</t>
        </is>
      </c>
      <c r="B21" s="44" t="inlineStr">
        <is>
          <t>Value</t>
        </is>
      </c>
      <c r="C21" s="44" t="inlineStr">
        <is>
          <t>Code</t>
        </is>
      </c>
      <c r="D21" s="44" t="inlineStr">
        <is>
          <t>Notes</t>
        </is>
      </c>
    </row>
    <row r="22" ht="15" customHeight="1" s="33">
      <c r="A22" s="45" t="inlineStr">
        <is>
          <t>Extra seat : first price</t>
        </is>
      </c>
      <c r="B22" s="46" t="n">
        <v>55</v>
      </c>
      <c r="C22" s="47" t="inlineStr">
        <is>
          <t>SeatPriceBase</t>
        </is>
      </c>
      <c r="D22" s="47" t="n"/>
    </row>
    <row r="23" ht="15" customHeight="1" s="33">
      <c r="A23" s="48" t="inlineStr">
        <is>
          <t>Extra seat : each next adds</t>
        </is>
      </c>
      <c r="B23" s="49" t="n">
        <v>25</v>
      </c>
      <c r="C23" s="50" t="inlineStr">
        <is>
          <t>SeatPriceStep</t>
        </is>
      </c>
      <c r="D23" s="50" t="n"/>
    </row>
    <row r="24" ht="15" customHeight="1" s="33">
      <c r="A24" s="45" t="inlineStr">
        <is>
          <t>Extra seat : 2nd price</t>
        </is>
      </c>
      <c r="B24" s="46">
        <f>B22+B23</f>
        <v/>
      </c>
      <c r="C24" s="47" t="inlineStr">
        <is>
          <t>(คำนวณ)</t>
        </is>
      </c>
      <c r="D24" s="47" t="n"/>
    </row>
    <row r="25" ht="15" customHeight="1" s="33">
      <c r="A25" s="48" t="inlineStr">
        <is>
          <t>Extra seat : 3rd price</t>
        </is>
      </c>
      <c r="B25" s="49">
        <f>B22+2*B23</f>
        <v/>
      </c>
      <c r="C25" s="50" t="inlineStr">
        <is>
          <t>(คำนวณ)</t>
        </is>
      </c>
      <c r="D25" s="50" t="n"/>
    </row>
    <row r="26" ht="15" customHeight="1" s="33">
      <c r="A26" s="45" t="inlineStr">
        <is>
          <t>Seats buyable per floor</t>
        </is>
      </c>
      <c r="B26" s="46" t="n">
        <v>2</v>
      </c>
      <c r="C26" s="47" t="inlineStr">
        <is>
          <t>SeatsPerFloor</t>
        </is>
      </c>
      <c r="D26" s="47" t="inlineStr">
        <is>
          <t>สูงสุด 9 ที่บนเวที</t>
        </is>
      </c>
    </row>
    <row r="27" ht="15" customHeight="1" s="33">
      <c r="A27" s="48" t="inlineStr">
        <is>
          <t>Tuning price</t>
        </is>
      </c>
      <c r="B27" s="49" t="n">
        <v>30</v>
      </c>
      <c r="C27" s="50" t="inlineStr">
        <is>
          <t>TuningPrice</t>
        </is>
      </c>
      <c r="D27" s="50" t="n"/>
    </row>
    <row r="28" ht="15" customHeight="1" s="33">
      <c r="A28" s="45" t="inlineStr">
        <is>
          <t>Tuning breath back</t>
        </is>
      </c>
      <c r="B28" s="61" t="n">
        <v>0.4</v>
      </c>
      <c r="C28" s="47" t="inlineStr">
        <is>
          <t>TuningRecover</t>
        </is>
      </c>
      <c r="D28" s="47" t="inlineStr">
        <is>
          <t>คืนลม 40% ของสูงสุด</t>
        </is>
      </c>
    </row>
    <row r="29" ht="15" customHeight="1" s="33">
      <c r="A29" s="48" t="inlineStr">
        <is>
          <t>Hire a musician</t>
        </is>
      </c>
      <c r="B29" s="49" t="n">
        <v>80</v>
      </c>
      <c r="C29" s="50" t="inlineStr">
        <is>
          <t>HirePrice</t>
        </is>
      </c>
      <c r="D29" s="50" t="inlineStr">
        <is>
          <t>คนจากยุคนี้</t>
        </is>
      </c>
    </row>
    <row r="31" ht="21" customHeight="1" s="33">
      <c r="A31" s="40" t="inlineStr">
        <is>
          <t>Rest</t>
        </is>
      </c>
      <c r="B31" s="41" t="n"/>
      <c r="C31" s="41" t="n"/>
      <c r="D31" s="42" t="n"/>
    </row>
    <row r="32" ht="15" customHeight="1" s="33">
      <c r="A32" s="43" t="inlineStr">
        <is>
          <t>Parameter</t>
        </is>
      </c>
      <c r="B32" s="44" t="inlineStr">
        <is>
          <t>Value</t>
        </is>
      </c>
      <c r="C32" s="44" t="inlineStr">
        <is>
          <t>Code</t>
        </is>
      </c>
      <c r="D32" s="44" t="inlineStr">
        <is>
          <t>Notes</t>
        </is>
      </c>
    </row>
    <row r="33" ht="15" customHeight="1" s="33">
      <c r="A33" s="45" t="inlineStr">
        <is>
          <t>BREATHE : breath back (free)</t>
        </is>
      </c>
      <c r="B33" s="61" t="n">
        <v>0.4</v>
      </c>
      <c r="C33" s="47" t="inlineStr">
        <is>
          <t>BreatheRecover</t>
        </is>
      </c>
      <c r="D33" s="47" t="inlineStr">
        <is>
          <t>คืนลม 40%</t>
        </is>
      </c>
    </row>
    <row r="34" ht="15" customHeight="1" s="33">
      <c r="A34" s="48" t="inlineStr">
        <is>
          <t>DEEP REST : price</t>
        </is>
      </c>
      <c r="B34" s="49" t="n">
        <v>35</v>
      </c>
      <c r="C34" s="50" t="inlineStr">
        <is>
          <t>DeepRestPrice</t>
        </is>
      </c>
      <c r="D34" s="50" t="inlineStr">
        <is>
          <t>คืนลมเต็ม</t>
        </is>
      </c>
    </row>
    <row r="35" ht="15" customHeight="1" s="33">
      <c r="A35" s="45" t="inlineStr">
        <is>
          <t>REHEARSE : +1 power, times per musician</t>
        </is>
      </c>
      <c r="B35" s="46" t="n">
        <v>3</v>
      </c>
      <c r="C35" s="47" t="inlineStr">
        <is>
          <t>RehearseMax</t>
        </is>
      </c>
      <c r="D35" s="47" t="n"/>
    </row>
    <row r="37" ht="21" customHeight="1" s="33">
      <c r="A37" s="40" t="inlineStr">
        <is>
          <t>Event Checks</t>
        </is>
      </c>
      <c r="B37" s="41" t="n"/>
      <c r="C37" s="41" t="n"/>
      <c r="D37" s="42" t="n"/>
    </row>
    <row r="38" ht="15" customHeight="1" s="33">
      <c r="A38" s="43" t="inlineStr">
        <is>
          <t>Parameter</t>
        </is>
      </c>
      <c r="B38" s="44" t="inlineStr">
        <is>
          <t>Value</t>
        </is>
      </c>
      <c r="C38" s="44" t="inlineStr">
        <is>
          <t>Code</t>
        </is>
      </c>
      <c r="D38" s="44" t="inlineStr">
        <is>
          <t>Notes</t>
        </is>
      </c>
    </row>
    <row r="39" ht="12.65" customHeight="1" s="33">
      <c r="A39" s="45" t="inlineStr">
        <is>
          <t>Chance per point of power</t>
        </is>
      </c>
      <c r="B39" s="61" t="n">
        <v>0.05</v>
      </c>
      <c r="C39" s="47" t="inlineStr">
        <is>
          <t>CheckPerPower</t>
        </is>
      </c>
      <c r="D39" s="47" t="inlineStr">
        <is>
          <t>โอกาส = ฐานของตัวเลือก + พลัง × 5%</t>
        </is>
      </c>
    </row>
    <row r="40" ht="15" customHeight="1" s="33">
      <c r="A40" s="48" t="inlineStr">
        <is>
          <t>Asked family bonus</t>
        </is>
      </c>
      <c r="B40" s="60" t="n">
        <v>0.25</v>
      </c>
      <c r="C40" s="50" t="inlineStr">
        <is>
          <t>CheckFamilyBonus</t>
        </is>
      </c>
      <c r="D40" s="50" t="n"/>
    </row>
  </sheetData>
  <mergeCells count="6">
    <mergeCell ref="A1:D1"/>
    <mergeCell ref="A37:D37"/>
    <mergeCell ref="A31:D31"/>
    <mergeCell ref="A3:D3"/>
    <mergeCell ref="A20:D20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32" min="1" max="1"/>
    <col width="14" customWidth="1" style="32" min="2" max="3"/>
    <col width="50" customWidth="1" style="32" min="4" max="4"/>
  </cols>
  <sheetData>
    <row r="1" ht="30" customHeight="1" s="33">
      <c r="A1" s="39" t="inlineStr">
        <is>
          <t>Simulation Results  (ตัวจำลอง ไม่ใช่คนเล่นจริง)</t>
        </is>
      </c>
    </row>
    <row r="3" ht="21" customHeight="1" s="33">
      <c r="A3" s="40" t="inlineStr">
        <is>
          <t>Run Win Rate — 29 ก.ย. ก้อน 8 (หลังใส่เพลง 7 เพลง, APPRENTICE)</t>
        </is>
      </c>
      <c r="B3" s="41" t="n"/>
      <c r="C3" s="41" t="n"/>
      <c r="D3" s="42" t="n"/>
    </row>
    <row r="4" ht="18.75" customHeight="1" s="33">
      <c r="A4" s="53" t="inlineStr">
        <is>
          <t>จาก `--shots simulate` / `audit` ใน Core/DebugShots.cs · ความแม่นตาม BPM เป็นสมมติฐาน · ผลแกว่ง ±5–8% ระหว่างรัน</t>
        </is>
      </c>
    </row>
    <row r="5" ht="15" customHeight="1" s="33">
      <c r="A5" s="43" t="inlineStr">
        <is>
          <t>Player Type</t>
        </is>
      </c>
      <c r="B5" s="44" t="inlineStr">
        <is>
          <t>NORMAL</t>
        </is>
      </c>
      <c r="C5" s="44" t="inlineStr">
        <is>
          <t>MAESTRO</t>
        </is>
      </c>
      <c r="D5" s="44" t="inlineStr">
        <is>
          <t>Notes</t>
        </is>
      </c>
    </row>
    <row r="6" ht="15" customHeight="1" s="33">
      <c r="A6" s="45" t="inlineStr">
        <is>
          <t>Flawless</t>
        </is>
      </c>
      <c r="B6" s="61" t="n">
        <v>1</v>
      </c>
      <c r="C6" s="61" t="n">
        <v>0.99</v>
      </c>
      <c r="D6" s="47" t="n"/>
    </row>
    <row r="7" ht="15" customHeight="1" s="33">
      <c r="A7" s="48" t="inlineStr">
        <is>
          <t>Skilled</t>
        </is>
      </c>
      <c r="B7" s="60" t="n">
        <v>0.92</v>
      </c>
      <c r="C7" s="60" t="n">
        <v>0.64</v>
      </c>
      <c r="D7" s="50" t="n"/>
    </row>
    <row r="8" ht="15" customHeight="1" s="33">
      <c r="A8" s="45" t="inlineStr">
        <is>
          <t>Average</t>
        </is>
      </c>
      <c r="B8" s="61" t="n">
        <v>0.62</v>
      </c>
      <c r="C8" s="61" t="n">
        <v>0.14</v>
      </c>
      <c r="D8" s="47" t="n"/>
    </row>
    <row r="9" ht="15" customHeight="1" s="33">
      <c r="A9" s="48" t="inlineStr">
        <is>
          <t>Newcomer</t>
        </is>
      </c>
      <c r="B9" s="60" t="n">
        <v>0.04</v>
      </c>
      <c r="C9" s="60" t="n">
        <v>0</v>
      </c>
      <c r="D9" s="50" t="n"/>
    </row>
    <row r="10" ht="15" customHeight="1" s="33">
      <c r="A10" s="45" t="inlineStr">
        <is>
          <t>Big stroke on every note</t>
        </is>
      </c>
      <c r="B10" s="61" t="n">
        <v>0.77</v>
      </c>
      <c r="C10" s="61" t="n">
        <v>0.25</v>
      </c>
      <c r="D10" s="47" t="inlineStr">
        <is>
          <t>ฟาดใหญ่ทุกโน้ตโดยไม่อ่านตัวอักษร</t>
        </is>
      </c>
    </row>
    <row r="12" ht="21" customHeight="1" s="33">
      <c r="A12" s="40" t="inlineStr">
        <is>
          <t>Conductor Win Rate — 29 ก.ย. ก้อน 6 (NORMAL, ก่อนใส่เพลงของ Elite/บอส)</t>
        </is>
      </c>
      <c r="B12" s="41" t="n"/>
      <c r="C12" s="41" t="n"/>
      <c r="D12" s="42" t="n"/>
    </row>
    <row r="13" ht="18.75" customHeight="1" s="33">
      <c r="A13" s="53" t="inlineStr">
        <is>
          <t>ตัวเลขชุดเก่ากว่าแถวบน ใช้เทียบระหว่างคอนดักเตอร์เท่านั้น</t>
        </is>
      </c>
    </row>
    <row r="14" ht="15" customHeight="1" s="33">
      <c r="A14" s="43" t="inlineStr">
        <is>
          <t>Conductor</t>
        </is>
      </c>
      <c r="B14" s="44" t="inlineStr">
        <is>
          <t>Skilled</t>
        </is>
      </c>
      <c r="C14" s="44" t="inlineStr">
        <is>
          <t>Average</t>
        </is>
      </c>
      <c r="D14" s="44" t="inlineStr">
        <is>
          <t>Notes</t>
        </is>
      </c>
    </row>
    <row r="15" ht="15" customHeight="1" s="33">
      <c r="A15" s="45" t="inlineStr">
        <is>
          <t>THE APPRENTICE</t>
        </is>
      </c>
      <c r="B15" s="61" t="n">
        <v>0.96</v>
      </c>
      <c r="C15" s="61" t="n">
        <v>0.67</v>
      </c>
      <c r="D15" s="47" t="n"/>
    </row>
    <row r="16" ht="15" customHeight="1" s="33">
      <c r="A16" s="48" t="inlineStr">
        <is>
          <t>THE METRONOME</t>
        </is>
      </c>
      <c r="B16" s="60" t="n">
        <v>0.97</v>
      </c>
      <c r="C16" s="60" t="n">
        <v>0.74</v>
      </c>
      <c r="D16" s="50" t="n"/>
    </row>
    <row r="17" ht="15" customHeight="1" s="33">
      <c r="A17" s="45" t="inlineStr">
        <is>
          <t>THE INFERNO</t>
        </is>
      </c>
      <c r="B17" s="61" t="n">
        <v>0.98</v>
      </c>
      <c r="C17" s="61" t="n">
        <v>0.67</v>
      </c>
      <c r="D17" s="47" t="n"/>
    </row>
    <row r="18" ht="15" customHeight="1" s="33">
      <c r="A18" s="48" t="inlineStr">
        <is>
          <t>THE UNHEARING</t>
        </is>
      </c>
      <c r="B18" s="60" t="n">
        <v>0.98</v>
      </c>
      <c r="C18" s="60" t="n">
        <v>0.58</v>
      </c>
      <c r="D18" s="50" t="n"/>
    </row>
    <row r="19" ht="15" customHeight="1" s="33">
      <c r="A19" s="45" t="inlineStr">
        <is>
          <t>THE FOLK LEADER</t>
        </is>
      </c>
      <c r="B19" s="61" t="n">
        <v>0.96</v>
      </c>
      <c r="C19" s="61" t="n">
        <v>0.48</v>
      </c>
      <c r="D19" s="47" t="n"/>
    </row>
  </sheetData>
  <mergeCells count="5">
    <mergeCell ref="A1:D1"/>
    <mergeCell ref="A12:D12"/>
    <mergeCell ref="A4:D4"/>
    <mergeCell ref="A3:D3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6" customWidth="1" style="32" min="1" max="1"/>
    <col width="110" customWidth="1" style="32" min="2" max="2"/>
  </cols>
  <sheetData>
    <row r="1" ht="30" customHeight="1" s="33">
      <c r="A1" s="64" t="inlineStr">
        <is>
          <t>TACET 4'33 — Balance Sheet</t>
        </is>
      </c>
    </row>
    <row r="2" ht="31.5" customHeight="1" s="33">
      <c r="A2" s="65" t="inlineStr">
        <is>
          <t>ทำเมื่อ</t>
        </is>
      </c>
      <c r="B2" s="66" t="inlineStr">
        <is>
          <t>9 ต.ค. 2026 · branch Alpha6 (รอบ 15) · รูปแบบตามตัวอย่างของอาจารย์ (Battlefleet_Balance.xlsx : Game States / Entity Tuning / Skill Damage) + แท็บเพิ่ม Difficulty Curve / Economy / Sim Results</t>
        </is>
      </c>
    </row>
    <row r="3" ht="31.5" customHeight="1" s="33">
      <c r="A3" s="65" t="inlineStr">
        <is>
          <t>ที่มาของตัวเลข</t>
        </is>
      </c>
      <c r="B3" s="66" t="inlineStr">
        <is>
          <t>อ่านจากโค้ดจริง : Data/BattleRules.cs (ตัวเลขบาลานซ์ทุกตัว) · Data/Conductor.cs · Data/Musician.cs · Data/Enemy.cs · Data/Motif.cs · Core/GestureReader.cs · คอลัมน์ Code บอกชื่อตัวแปร</t>
        </is>
      </c>
    </row>
    <row r="4" ht="31.5" customHeight="1" s="33">
      <c r="A4" s="65" t="inlineStr">
        <is>
          <t>แก้ตัวเลขที่ไหน</t>
        </is>
      </c>
      <c r="B4" s="66" t="inlineStr">
        <is>
          <t>ไฟล์นี้ไม่เชื่อมกับเกม แก้ในชีตแล้วเกมไม่เปลี่ยน → แก้ที่ Data/BattleRules.cs (หรือไฟล์ Data ตามคอลัมน์ Code) แล้วอัปเดตชีตตาม</t>
        </is>
      </c>
    </row>
    <row r="5" ht="31.5" customHeight="1" s="33">
      <c r="A5" s="65" t="inlineStr">
        <is>
          <t>ช่องที่เป็นสูตร</t>
        </is>
      </c>
      <c r="B5" s="66" t="inlineStr">
        <is>
          <t>Max Breath · Power × · แรงโน้ตศัตรูต่อชั้น · Push to Win · ms/beat · ราคาที่นั่ง · ราคา Motif · Beats in a Full Duel · ค่าเฉลี่ยพลังนักดนตรี — เปลี่ยนค่าต้นทางแล้วคำนวณใหม่เอง</t>
        </is>
      </c>
    </row>
    <row r="6" ht="31.5" customHeight="1" s="33">
      <c r="A6" s="65" t="inlineStr">
        <is>
          <t>การปัดเศษแรงศัตรู</t>
        </is>
      </c>
      <c r="B6" s="66" t="inlineStr">
        <is>
          <t>เกมใช้ C# Math.Round (ค่า .5 ปัดไปหาเลขคู่) สูตรในชีตจึงเป็น ROUND(x,0) − (MOD(x,2)=0.5) ให้ตรงกับเกม เช่น MAESTRO ชั้น 1 ของ MUTE CHOIR = 10 (ไม่ใช่ 11)</t>
        </is>
      </c>
    </row>
    <row r="7" ht="31.5" customHeight="1" s="33">
      <c r="A7" s="65" t="inlineStr">
        <is>
          <t>Sim Results</t>
        </is>
      </c>
      <c r="B7" s="66" t="inlineStr">
        <is>
          <t>มาจากตัวจำลองในเกม (Core/DebugShots.cs) ยังไม่มีเพลย์เทสกับคนจริงของรอบ 15</t>
        </is>
      </c>
    </row>
    <row r="8">
      <c r="A8" s="32" t="inlineStr">
        <is>
          <t>Alpha 7</t>
        </is>
      </c>
      <c r="B8" s="32" t="inlineStr">
        <is>
          <t>แท็บ Turn Battle / Turn Enemies / Turn Conductors / Turn Sim = การต่อสู้แบบผลัดตา (branch Alpha7, 19 ต.ค.) สร้างจากโค้ดด้วยสคริปต์ ค่าในแท็บอื่นเป็นของดวลเดิม (Alpha6) ที่ยังอยู่ในโค้ดตอนปิด TurnBattleOn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33" min="1" max="1"/>
    <col width="30" customWidth="1" style="33" min="2" max="2"/>
    <col width="22" customWidth="1" style="33" min="3" max="3"/>
    <col width="90" customWidth="1" style="33" min="4" max="4"/>
  </cols>
  <sheetData>
    <row r="1">
      <c r="A1" s="67" t="inlineStr">
        <is>
          <t>Section</t>
        </is>
      </c>
      <c r="B1" s="67" t="inlineStr">
        <is>
          <t>Code (BattleRules)</t>
        </is>
      </c>
      <c r="C1" s="67" t="inlineStr">
        <is>
          <t>Value</t>
        </is>
      </c>
      <c r="D1" s="67" t="inlineStr">
        <is>
          <t>Notes</t>
        </is>
      </c>
    </row>
    <row r="2">
      <c r="A2" t="inlineStr">
        <is>
          <t>Turn Battle On</t>
        </is>
      </c>
      <c r="B2" t="inlineStr">
        <is>
          <t>TurnBattleOn</t>
        </is>
      </c>
      <c r="C2" t="inlineStr">
        <is>
          <t>true</t>
        </is>
      </c>
    </row>
    <row r="3">
      <c r="A3" t="inlineStr">
        <is>
          <t>Life Word</t>
        </is>
      </c>
      <c r="B3" t="inlineStr">
        <is>
          <t>LifeWord</t>
        </is>
      </c>
      <c r="C3" t="inlineStr">
        <is>
          <t>TurnBattleOn ? "LIFE" : "BREATH"</t>
        </is>
      </c>
    </row>
    <row r="4">
      <c r="A4" t="inlineStr">
        <is>
          <t>Life Word</t>
        </is>
      </c>
      <c r="B4" t="inlineStr">
        <is>
          <t>LifeWordLower</t>
        </is>
      </c>
      <c r="C4" t="inlineStr">
        <is>
          <t>TurnBattleOn ? "life" : "breath"</t>
        </is>
      </c>
    </row>
    <row r="5">
      <c r="A5" t="inlineStr">
        <is>
          <t>Life and Speed of the band</t>
        </is>
      </c>
      <c r="B5" t="inlineStr">
        <is>
          <t>TurnHp</t>
        </is>
      </c>
      <c r="C5" t="inlineStr">
        <is>
          <t>{ 30, 26, 36 }</t>
        </is>
      </c>
    </row>
    <row r="6">
      <c r="A6" t="inlineStr">
        <is>
          <t>Life and Speed of the band</t>
        </is>
      </c>
      <c r="B6" t="inlineStr">
        <is>
          <t>TurnSpeed</t>
        </is>
      </c>
      <c r="C6" t="inlineStr">
        <is>
          <t>{ 5, 7, 3 }</t>
        </is>
      </c>
    </row>
    <row r="7">
      <c r="A7" t="inlineStr">
        <is>
          <t>Life and Speed of TACET</t>
        </is>
      </c>
      <c r="B7" t="inlineStr">
        <is>
          <t>TurnEnemyHp</t>
        </is>
      </c>
      <c r="C7" t="inlineStr">
        <is>
          <t>{ 50, 120, 250 }</t>
        </is>
      </c>
    </row>
    <row r="8">
      <c r="A8" t="inlineStr">
        <is>
          <t>Life and Speed of TACET</t>
        </is>
      </c>
      <c r="B8" t="inlineStr">
        <is>
          <t>TurnEnemySpeed</t>
        </is>
      </c>
      <c r="C8" t="inlineStr">
        <is>
          <t>{ 4, 4, 4 }</t>
        </is>
      </c>
    </row>
    <row r="9">
      <c r="A9" t="inlineStr">
        <is>
          <t>Attack</t>
        </is>
      </c>
      <c r="B9" t="inlineStr">
        <is>
          <t>TurnAttackPerPower</t>
        </is>
      </c>
      <c r="C9" t="inlineStr">
        <is>
          <t>2</t>
        </is>
      </c>
    </row>
    <row r="10">
      <c r="A10" t="inlineStr">
        <is>
          <t>Attack</t>
        </is>
      </c>
      <c r="B10" t="inlineStr">
        <is>
          <t>TurnPerfect</t>
        </is>
      </c>
      <c r="C10" t="inlineStr">
        <is>
          <t>1.3</t>
        </is>
      </c>
      <c r="D10" t="inlineStr">
        <is>
          <t>right way, right size, on time</t>
        </is>
      </c>
    </row>
    <row r="11">
      <c r="A11" t="inlineStr">
        <is>
          <t>Attack</t>
        </is>
      </c>
      <c r="B11" t="inlineStr">
        <is>
          <t>TurnGood</t>
        </is>
      </c>
      <c r="C11" t="inlineStr">
        <is>
          <t>1</t>
        </is>
      </c>
      <c r="D11" t="inlineStr">
        <is>
          <t>right way, right size, a little off time</t>
        </is>
      </c>
    </row>
    <row r="12">
      <c r="A12" t="inlineStr">
        <is>
          <t>Attack</t>
        </is>
      </c>
      <c r="B12" t="inlineStr">
        <is>
          <t>TurnWrongSize</t>
        </is>
      </c>
      <c r="C12" t="inlineStr">
        <is>
          <t>0.7</t>
        </is>
      </c>
      <c r="D12" t="inlineStr">
        <is>
          <t>on time but the wrong size</t>
        </is>
      </c>
    </row>
    <row r="13">
      <c r="A13" t="inlineStr">
        <is>
          <t>Attack</t>
        </is>
      </c>
      <c r="B13" t="inlineStr">
        <is>
          <t>TurnMiss</t>
        </is>
      </c>
      <c r="C13" t="inlineStr">
        <is>
          <t>0.4</t>
        </is>
      </c>
      <c r="D13" t="inlineStr">
        <is>
          <t>the wrong way, too early, too late or no swipe</t>
        </is>
      </c>
    </row>
    <row r="14">
      <c r="A14" t="inlineStr">
        <is>
          <t>ONE BAR</t>
        </is>
      </c>
      <c r="B14" t="inlineStr">
        <is>
          <t>TurnAttackScale</t>
        </is>
      </c>
      <c r="C14" t="inlineStr">
        <is>
          <t>1</t>
        </is>
      </c>
      <c r="D14" t="inlineStr">
        <is>
          <t>ATTACK : no swipe, it always hits at this</t>
        </is>
      </c>
    </row>
    <row r="15">
      <c r="A15" t="inlineStr">
        <is>
          <t>ONE BAR</t>
        </is>
      </c>
      <c r="B15" t="inlineStr">
        <is>
          <t>TurnAttackOffBeat</t>
        </is>
      </c>
      <c r="C15" t="inlineStr">
        <is>
          <t>10</t>
        </is>
      </c>
      <c r="D15" t="inlineStr">
        <is>
          <t>ATTACK : the OFF-BEAT it adds</t>
        </is>
      </c>
    </row>
    <row r="16">
      <c r="A16" t="inlineStr">
        <is>
          <t>ONE BAR</t>
        </is>
      </c>
      <c r="B16" t="inlineStr">
        <is>
          <t>TurnStartBand</t>
        </is>
      </c>
      <c r="C16" t="inlineStr">
        <is>
          <t>2</t>
        </is>
      </c>
      <c r="D16" t="inlineStr">
        <is>
          <t>musicians on the field when a fight starts (FULL STAGE in the ARCHIVE adds 1)</t>
        </is>
      </c>
    </row>
    <row r="17">
      <c r="A17" t="inlineStr">
        <is>
          <t>ONE BAR</t>
        </is>
      </c>
      <c r="B17" t="inlineStr">
        <is>
          <t>TurnFieldMost</t>
        </is>
      </c>
      <c r="C17" t="inlineStr">
        <is>
          <t>6</t>
        </is>
      </c>
      <c r="D17" t="inlineStr">
        <is>
          <t>musicians on the field at most, the called ones too</t>
        </is>
      </c>
    </row>
    <row r="18">
      <c r="A18" t="inlineStr">
        <is>
          <t>ONE BAR</t>
        </is>
      </c>
      <c r="B18" t="inlineStr">
        <is>
          <t>TurnCallCost</t>
        </is>
      </c>
      <c r="C18" t="inlineStr">
        <is>
          <t>3</t>
        </is>
      </c>
      <c r="D18" t="inlineStr">
        <is>
          <t>CALL : BREATH to bring one in from the BENCH, one per bar (NORMAL)</t>
        </is>
      </c>
    </row>
    <row r="19">
      <c r="A19" t="inlineStr">
        <is>
          <t>ONE BAR</t>
        </is>
      </c>
      <c r="B19" t="inlineStr">
        <is>
          <t>MaestroTurnCallCost</t>
        </is>
      </c>
      <c r="C19" t="inlineStr">
        <is>
          <t>5</t>
        </is>
      </c>
      <c r="D19" t="inlineStr">
        <is>
          <t>MAESTRO</t>
        </is>
      </c>
    </row>
    <row r="20">
      <c r="A20" t="inlineStr">
        <is>
          <t>ONE BAR</t>
        </is>
      </c>
      <c r="B20" t="inlineStr">
        <is>
          <t>TurnCallCostStep</t>
        </is>
      </c>
      <c r="C20" t="inlineStr">
        <is>
          <t>1</t>
        </is>
      </c>
      <c r="D20" t="inlineStr">
        <is>
          <t>the second call of a fight and every one after costs this much more</t>
        </is>
      </c>
    </row>
    <row r="21">
      <c r="A21" t="inlineStr">
        <is>
          <t>ONE BAR</t>
        </is>
      </c>
      <c r="B21" t="inlineStr">
        <is>
          <t>TurnCutInSpeed</t>
        </is>
      </c>
      <c r="C21" t="inlineStr">
        <is>
          <t>5</t>
        </is>
      </c>
      <c r="D21" t="inlineStr">
        <is>
          <t>CUT IN : an enemy this fast plays in the middle of the bar</t>
        </is>
      </c>
    </row>
    <row r="22">
      <c r="A22" t="inlineStr">
        <is>
          <t>ONE BAR</t>
        </is>
      </c>
      <c r="B22" t="inlineStr">
        <is>
          <t>TurnCutInAfter</t>
        </is>
      </c>
      <c r="C22" t="inlineStr">
        <is>
          <t>2</t>
        </is>
      </c>
      <c r="D22" t="inlineStr">
        <is>
          <t>right after this many of the band's moves</t>
        </is>
      </c>
    </row>
    <row r="23">
      <c r="A23" t="inlineStr">
        <is>
          <t>PACKS</t>
        </is>
      </c>
      <c r="B23" t="inlineStr">
        <is>
          <t>TurnPackEarly</t>
        </is>
      </c>
      <c r="C23" t="inlineStr">
        <is>
          <t>{ 1, 2, 3 }</t>
        </is>
      </c>
      <c r="D23" t="inlineStr">
        <is>
          <t>an ENCOUNTER in the first half of the floor</t>
        </is>
      </c>
    </row>
    <row r="24">
      <c r="A24" t="inlineStr">
        <is>
          <t>PACKS</t>
        </is>
      </c>
      <c r="B24" t="inlineStr">
        <is>
          <t>TurnPackLate</t>
        </is>
      </c>
      <c r="C24" t="inlineStr">
        <is>
          <t>{ 2, 3, 4 }</t>
        </is>
      </c>
      <c r="D24" t="inlineStr">
        <is>
          <t>in the second half</t>
        </is>
      </c>
    </row>
    <row r="25">
      <c r="A25" t="inlineStr">
        <is>
          <t>PACKS</t>
        </is>
      </c>
      <c r="B25" t="inlineStr">
        <is>
          <t>TurnEliteEscort</t>
        </is>
      </c>
      <c r="C25" t="inlineStr">
        <is>
          <t>{ 0, 1, 2 }</t>
        </is>
      </c>
      <c r="D25" t="inlineStr">
        <is>
          <t>ordinary enemies that come with an ELITE</t>
        </is>
      </c>
    </row>
    <row r="26">
      <c r="A26" t="inlineStr">
        <is>
          <t>PACKS</t>
        </is>
      </c>
      <c r="B26" t="inlineStr">
        <is>
          <t>TurnBossEscort</t>
        </is>
      </c>
      <c r="C26" t="inlineStr">
        <is>
          <t>{ 0, 1, 2 }</t>
        </is>
      </c>
      <c r="D26" t="inlineStr">
        <is>
          <t>and with the BOSS</t>
        </is>
      </c>
    </row>
    <row r="27">
      <c r="A27" t="inlineStr">
        <is>
          <t>PACKS</t>
        </is>
      </c>
      <c r="B27" t="inlineStr">
        <is>
          <t>MaestroTurnDamage</t>
        </is>
      </c>
      <c r="C27" t="inlineStr">
        <is>
          <t>1</t>
        </is>
      </c>
      <c r="D27" t="inlineStr">
        <is>
          <t>MAESTRO : each of TACET's notes hits this much harder (1 = as NORMAL :</t>
        </is>
      </c>
    </row>
    <row r="28">
      <c r="A28" t="inlineStr">
        <is>
          <t>PACKS</t>
        </is>
      </c>
      <c r="B28" t="inlineStr">
        <is>
          <t>TurnShardsPerEscort</t>
        </is>
      </c>
      <c r="C28" t="inlineStr">
        <is>
          <t>6</t>
        </is>
      </c>
      <c r="D28" t="inlineStr">
        <is>
          <t>shards for each enemy beyond the first</t>
        </is>
      </c>
    </row>
    <row r="29">
      <c r="A29" t="inlineStr">
        <is>
          <t>Floor Scale</t>
        </is>
      </c>
      <c r="B29" t="inlineStr">
        <is>
          <t>TurnFloorLife</t>
        </is>
      </c>
      <c r="C29" t="inlineStr">
        <is>
          <t>{ 1, 1.3, 1.6 }</t>
        </is>
      </c>
    </row>
    <row r="30">
      <c r="A30" t="inlineStr">
        <is>
          <t>Floor Scale</t>
        </is>
      </c>
      <c r="B30" t="inlineStr">
        <is>
          <t>TurnFloorDamage</t>
        </is>
      </c>
      <c r="C30" t="inlineStr">
        <is>
          <t>{ 1, 1.2, 1.4 }</t>
        </is>
      </c>
    </row>
    <row r="31">
      <c r="A31" t="inlineStr">
        <is>
          <t>Enemy Traits in the turn battle</t>
        </is>
      </c>
      <c r="B31" t="inlineStr">
        <is>
          <t>TurnFillsGapsScale</t>
        </is>
      </c>
      <c r="C31" t="inlineStr">
        <is>
          <t>1.5</t>
        </is>
      </c>
      <c r="D31" t="inlineStr">
        <is>
          <t>DEAD AIR : a missed note</t>
        </is>
      </c>
    </row>
    <row r="32">
      <c r="A32" t="inlineStr">
        <is>
          <t>Enemy Traits in the turn battle</t>
        </is>
      </c>
      <c r="B32" t="inlineStr">
        <is>
          <t>TurnLullHeal</t>
        </is>
      </c>
      <c r="C32" t="inlineStr">
        <is>
          <t>12</t>
        </is>
      </c>
      <c r="D32" t="inlineStr">
        <is>
          <t>THE LULL : life back on its humming turn</t>
        </is>
      </c>
    </row>
    <row r="33">
      <c r="A33" t="inlineStr">
        <is>
          <t>Enemy Traits in the turn battle</t>
        </is>
      </c>
      <c r="B33" t="inlineStr">
        <is>
          <t>TurnLullEvery</t>
        </is>
      </c>
      <c r="C33" t="inlineStr">
        <is>
          <t>3</t>
        </is>
      </c>
      <c r="D33" t="inlineStr">
        <is>
          <t>every this many turns</t>
        </is>
      </c>
    </row>
    <row r="34">
      <c r="A34" t="inlineStr">
        <is>
          <t>Enemy Traits in the turn battle</t>
        </is>
      </c>
      <c r="B34" t="inlineStr">
        <is>
          <t>TurnFastGap</t>
        </is>
      </c>
      <c r="C34" t="inlineStr">
        <is>
          <t>0.7</t>
        </is>
      </c>
      <c r="D34" t="inlineStr">
        <is>
          <t>REQUIEM : the gap between notes below half life</t>
        </is>
      </c>
    </row>
    <row r="35">
      <c r="A35" t="inlineStr">
        <is>
          <t>Enemy Traits in the turn battle</t>
        </is>
      </c>
      <c r="B35" t="inlineStr">
        <is>
          <t>TurnBargainSteal</t>
        </is>
      </c>
      <c r="C35" t="inlineStr">
        <is>
          <t>1</t>
        </is>
      </c>
      <c r="D35" t="inlineStr">
        <is>
          <t>THE DEVIL'S STRING : breath taken by each attack</t>
        </is>
      </c>
    </row>
    <row r="36">
      <c r="A36" t="inlineStr">
        <is>
          <t>ONE BAR enemies</t>
        </is>
      </c>
      <c r="B36" t="inlineStr">
        <is>
          <t>TurnRoomToneKeep</t>
        </is>
      </c>
      <c r="C36" t="inlineStr">
        <is>
          <t>0.7</t>
        </is>
      </c>
      <c r="D36" t="inlineStr">
        <is>
          <t>ROOM TONE : the share of the band's damage the OTHER enemies take while it stands</t>
        </is>
      </c>
    </row>
    <row r="37">
      <c r="A37" t="inlineStr">
        <is>
          <t>ONE BAR enemies</t>
        </is>
      </c>
      <c r="B37" t="inlineStr">
        <is>
          <t>TurnFeltHandCall</t>
        </is>
      </c>
      <c r="C37" t="inlineStr">
        <is>
          <t>1</t>
        </is>
      </c>
      <c r="D37" t="inlineStr">
        <is>
          <t>THE DAMPER : a CALL costs this much more while it stands (2 left the sim's STRONG player at 23 percent against it)</t>
        </is>
      </c>
    </row>
    <row r="38">
      <c r="A38" t="inlineStr">
        <is>
          <t>ONE BAR enemies</t>
        </is>
      </c>
      <c r="B38" t="inlineStr">
        <is>
          <t>TurnTwiceFirst</t>
        </is>
      </c>
      <c r="C38" t="inlineStr">
        <is>
          <t>1</t>
        </is>
      </c>
      <c r="D38" t="inlineStr">
        <is>
          <t>STUTTER : cuts in after this many of the band's moves</t>
        </is>
      </c>
    </row>
    <row r="39">
      <c r="A39" t="inlineStr">
        <is>
          <t>ONE BAR enemies</t>
        </is>
      </c>
      <c r="B39" t="inlineStr">
        <is>
          <t>TurnTwiceSecond</t>
        </is>
      </c>
      <c r="C39" t="inlineStr">
        <is>
          <t>3</t>
        </is>
      </c>
      <c r="D39" t="inlineStr">
        <is>
          <t>and again after this many</t>
        </is>
      </c>
    </row>
    <row r="40">
      <c r="A40" t="inlineStr">
        <is>
          <t>PRACTICE</t>
        </is>
      </c>
      <c r="B40" t="inlineStr">
        <is>
          <t>TurnPracticeHp</t>
        </is>
      </c>
      <c r="C40" t="inlineStr">
        <is>
          <t>160</t>
        </is>
      </c>
    </row>
    <row r="41">
      <c r="A41" t="inlineStr">
        <is>
          <t>PRACTICE</t>
        </is>
      </c>
      <c r="B41" t="inlineStr">
        <is>
          <t>TurnPracticeSpeed</t>
        </is>
      </c>
      <c r="C41" t="inlineStr">
        <is>
          <t>4</t>
        </is>
      </c>
    </row>
    <row r="42">
      <c r="A42" t="inlineStr">
        <is>
          <t>PRACTICE</t>
        </is>
      </c>
      <c r="B42" t="inlineStr">
        <is>
          <t>TurnPracticePower</t>
        </is>
      </c>
      <c r="C42" t="inlineStr">
        <is>
          <t>2</t>
        </is>
      </c>
      <c r="D42" t="inlineStr">
        <is>
          <t>each note hits this x TurnNoteDamage (4 life)</t>
        </is>
      </c>
    </row>
    <row r="43">
      <c r="A43" t="inlineStr">
        <is>
          <t>Enemy Attack</t>
        </is>
      </c>
      <c r="B43" t="inlineStr">
        <is>
          <t>TurnNotesMin</t>
        </is>
      </c>
      <c r="C43" t="inlineStr">
        <is>
          <t>{ 1, 2, 3 }</t>
        </is>
      </c>
      <c r="D43" t="inlineStr">
        <is>
          <t>ELITE and BOSS</t>
        </is>
      </c>
    </row>
    <row r="44">
      <c r="A44" t="inlineStr">
        <is>
          <t>Enemy Attack</t>
        </is>
      </c>
      <c r="B44" t="inlineStr">
        <is>
          <t>TurnNotesMax</t>
        </is>
      </c>
      <c r="C44" t="inlineStr">
        <is>
          <t>{ 2, 3, 4 }</t>
        </is>
      </c>
    </row>
    <row r="45">
      <c r="A45" t="inlineStr">
        <is>
          <t>Enemy Attack</t>
        </is>
      </c>
      <c r="B45" t="inlineStr">
        <is>
          <t>TurnSmallNotesMin</t>
        </is>
      </c>
      <c r="C45" t="inlineStr">
        <is>
          <t>{ 1, 1, 2 }</t>
        </is>
      </c>
      <c r="D45" t="inlineStr">
        <is>
          <t>ordinary enemies</t>
        </is>
      </c>
    </row>
    <row r="46">
      <c r="A46" t="inlineStr">
        <is>
          <t>Enemy Attack</t>
        </is>
      </c>
      <c r="B46" t="inlineStr">
        <is>
          <t>TurnSmallNotesMax</t>
        </is>
      </c>
      <c r="C46" t="inlineStr">
        <is>
          <t>{ 2, 2, 2 }</t>
        </is>
      </c>
    </row>
    <row r="47">
      <c r="A47" t="inlineStr">
        <is>
          <t>Enemy Attack</t>
        </is>
      </c>
      <c r="B47" t="inlineStr">
        <is>
          <t>TurnNoteDamage</t>
        </is>
      </c>
      <c r="C47" t="inlineStr">
        <is>
          <t>2.2</t>
        </is>
      </c>
      <c r="D47" t="inlineStr">
        <is>
          <t>step 12 : was 1.5, the user found NORMAL far too easy (turnsim STRONG 81 -&gt; 57 percent)</t>
        </is>
      </c>
    </row>
    <row r="48">
      <c r="A48" t="inlineStr">
        <is>
          <t>PARRY</t>
        </is>
      </c>
      <c r="B48" t="inlineStr">
        <is>
          <t>TurnParryGoodKeep</t>
        </is>
      </c>
      <c r="C48" t="inlineStr">
        <is>
          <t>0.5</t>
        </is>
      </c>
    </row>
    <row r="49">
      <c r="A49" t="inlineStr">
        <is>
          <t>BREATH</t>
        </is>
      </c>
      <c r="B49" t="inlineStr">
        <is>
          <t>TurnBreathMax</t>
        </is>
      </c>
      <c r="C49" t="inlineStr">
        <is>
          <t>10</t>
        </is>
      </c>
    </row>
    <row r="50">
      <c r="A50" t="inlineStr">
        <is>
          <t>BREATH</t>
        </is>
      </c>
      <c r="B50" t="inlineStr">
        <is>
          <t>TurnBreathStart</t>
        </is>
      </c>
      <c r="C50" t="inlineStr">
        <is>
          <t>3</t>
        </is>
      </c>
    </row>
    <row r="51">
      <c r="A51" t="inlineStr">
        <is>
          <t>BREATH</t>
        </is>
      </c>
      <c r="B51" t="inlineStr">
        <is>
          <t>TurnBreathPerAttack</t>
        </is>
      </c>
      <c r="C51" t="inlineStr">
        <is>
          <t>1</t>
        </is>
      </c>
    </row>
    <row r="52">
      <c r="A52" t="inlineStr">
        <is>
          <t>BREATH</t>
        </is>
      </c>
      <c r="B52" t="inlineStr">
        <is>
          <t>TurnBreathPerParry</t>
        </is>
      </c>
      <c r="C52" t="inlineStr">
        <is>
          <t>1</t>
        </is>
      </c>
      <c r="D52" t="inlineStr">
        <is>
          <t>for each note parried PERFECT</t>
        </is>
      </c>
    </row>
    <row r="53">
      <c r="A53" t="inlineStr">
        <is>
          <t>KNOCKED OUT</t>
        </is>
      </c>
      <c r="B53" t="inlineStr">
        <is>
          <t>TurnReviveHp</t>
        </is>
      </c>
      <c r="C53" t="inlineStr">
        <is>
          <t>1</t>
        </is>
      </c>
    </row>
    <row r="54">
      <c r="A54" t="inlineStr">
        <is>
          <t>OFF-BEAT</t>
        </is>
      </c>
      <c r="B54" t="inlineStr">
        <is>
          <t>TurnOffBeatMax</t>
        </is>
      </c>
      <c r="C54" t="inlineStr">
        <is>
          <t>100</t>
        </is>
      </c>
    </row>
    <row r="55">
      <c r="A55" t="inlineStr">
        <is>
          <t>OFF-BEAT</t>
        </is>
      </c>
      <c r="B55" t="inlineStr">
        <is>
          <t>TurnParryOffBeat</t>
        </is>
      </c>
      <c r="C55" t="inlineStr">
        <is>
          <t>10</t>
        </is>
      </c>
      <c r="D55" t="inlineStr">
        <is>
          <t>each note parried PERFECT</t>
        </is>
      </c>
    </row>
    <row r="56">
      <c r="A56" t="inlineStr">
        <is>
          <t>OFF-BEAT</t>
        </is>
      </c>
      <c r="B56" t="inlineStr">
        <is>
          <t>TurnOffBeatScale</t>
        </is>
      </c>
      <c r="C56" t="inlineStr">
        <is>
          <t>1.5</t>
        </is>
      </c>
      <c r="D56" t="inlineStr">
        <is>
          <t>damage against an enemy off the beat</t>
        </is>
      </c>
    </row>
    <row r="57">
      <c r="A57" t="inlineStr">
        <is>
          <t>Statuses</t>
        </is>
      </c>
      <c r="B57" t="inlineStr">
        <is>
          <t>TurnDissonanceMost</t>
        </is>
      </c>
      <c r="C57" t="inlineStr">
        <is>
          <t>9</t>
        </is>
      </c>
      <c r="D57" t="inlineStr">
        <is>
          <t>DISSONANCE stacks no higher</t>
        </is>
      </c>
    </row>
    <row r="58">
      <c r="A58" t="inlineStr">
        <is>
          <t>Statuses</t>
        </is>
      </c>
      <c r="B58" t="inlineStr">
        <is>
          <t>TurnCrescendoStep</t>
        </is>
      </c>
      <c r="C58" t="inlineStr">
        <is>
          <t>0.15</t>
        </is>
      </c>
      <c r="D58" t="inlineStr">
        <is>
          <t>CRESCENDO : each stack hits this much harder</t>
        </is>
      </c>
    </row>
    <row r="59">
      <c r="A59" t="inlineStr">
        <is>
          <t>Statuses</t>
        </is>
      </c>
      <c r="B59" t="inlineStr">
        <is>
          <t>TurnCrescendoMost</t>
        </is>
      </c>
      <c r="C59" t="inlineStr">
        <is>
          <t>5</t>
        </is>
      </c>
    </row>
    <row r="60">
      <c r="A60" t="inlineStr">
        <is>
          <t>Statuses</t>
        </is>
      </c>
      <c r="B60" t="inlineStr">
        <is>
          <t>TurnMuteTurns</t>
        </is>
      </c>
      <c r="C60" t="inlineStr">
        <is>
          <t>1</t>
        </is>
      </c>
      <c r="D60" t="inlineStr">
        <is>
          <t>MUTE : turns without skills</t>
        </is>
      </c>
    </row>
    <row r="61">
      <c r="A61" t="inlineStr">
        <is>
          <t>Statuses</t>
        </is>
      </c>
      <c r="B61" t="inlineStr">
        <is>
          <t>TurnGuardKeep</t>
        </is>
      </c>
      <c r="C61" t="inlineStr">
        <is>
          <t>0.5</t>
        </is>
      </c>
      <c r="D61" t="inlineStr">
        <is>
          <t>GUARD : the share of a hit that gets through</t>
        </is>
      </c>
    </row>
    <row r="62">
      <c r="A62" t="inlineStr">
        <is>
          <t>COUNTER and CADENZA</t>
        </is>
      </c>
      <c r="B62" t="inlineStr">
        <is>
          <t>TurnCounterScale</t>
        </is>
      </c>
      <c r="C62" t="inlineStr">
        <is>
          <t>1</t>
        </is>
      </c>
      <c r="D62" t="inlineStr">
        <is>
          <t>x the target's attack damage</t>
        </is>
      </c>
    </row>
    <row r="63">
      <c r="A63" t="inlineStr">
        <is>
          <t>COUNTER and CADENZA</t>
        </is>
      </c>
      <c r="B63" t="inlineStr">
        <is>
          <t>TurnCadenzaCounter</t>
        </is>
      </c>
      <c r="C63" t="inlineStr">
        <is>
          <t>2</t>
        </is>
      </c>
    </row>
    <row r="64">
      <c r="A64" t="inlineStr">
        <is>
          <t>COUNTER and CADENZA</t>
        </is>
      </c>
      <c r="B64" t="inlineStr">
        <is>
          <t>TurnCadenzaEvery</t>
        </is>
      </c>
      <c r="C64" t="inlineStr">
        <is>
          <t>3</t>
        </is>
      </c>
    </row>
    <row r="65">
      <c r="A65" t="inlineStr">
        <is>
          <t>COUNTER and CADENZA</t>
        </is>
      </c>
      <c r="B65" t="inlineStr">
        <is>
          <t>TurnCadenzaPower</t>
        </is>
      </c>
      <c r="C65" t="inlineStr">
        <is>
          <t>1.5</t>
        </is>
      </c>
    </row>
    <row r="66">
      <c r="A66" t="inlineStr">
        <is>
          <t>Skill Notes</t>
        </is>
      </c>
      <c r="B66" t="inlineStr">
        <is>
          <t>TurnHoldBase</t>
        </is>
      </c>
      <c r="C66" t="inlineStr">
        <is>
          <t>0.6</t>
        </is>
      </c>
    </row>
    <row r="67">
      <c r="A67" t="inlineStr">
        <is>
          <t>Skill Notes</t>
        </is>
      </c>
      <c r="B67" t="inlineStr">
        <is>
          <t>TurnHoldGain</t>
        </is>
      </c>
      <c r="C67" t="inlineStr">
        <is>
          <t>0.8</t>
        </is>
      </c>
    </row>
    <row r="68">
      <c r="A68" t="inlineStr">
        <is>
          <t>Skill Notes</t>
        </is>
      </c>
      <c r="B68" t="inlineStr">
        <is>
          <t>TurnRollPerfect</t>
        </is>
      </c>
      <c r="C68" t="inlineStr">
        <is>
          <t>5</t>
        </is>
      </c>
    </row>
    <row r="69">
      <c r="A69" t="inlineStr">
        <is>
          <t>Skill Notes</t>
        </is>
      </c>
      <c r="B69" t="inlineStr">
        <is>
          <t>TurnRollGood</t>
        </is>
      </c>
      <c r="C69" t="inlineStr">
        <is>
          <t>3</t>
        </is>
      </c>
    </row>
    <row r="70">
      <c r="A70" t="inlineStr">
        <is>
          <t>Skill Notes</t>
        </is>
      </c>
      <c r="B70" t="inlineStr">
        <is>
          <t>MaestroTurnRollPerfect</t>
        </is>
      </c>
      <c r="C70" t="inlineStr">
        <is>
          <t>6</t>
        </is>
      </c>
    </row>
    <row r="71">
      <c r="A71" t="inlineStr">
        <is>
          <t>Skill Notes</t>
        </is>
      </c>
      <c r="B71" t="inlineStr">
        <is>
          <t>MaestroTurnRollGood</t>
        </is>
      </c>
      <c r="C71" t="inlineStr">
        <is>
          <t>4</t>
        </is>
      </c>
    </row>
    <row r="72">
      <c r="A72" t="inlineStr">
        <is>
          <t>Conductors</t>
        </is>
      </c>
      <c r="B72" t="inlineStr">
        <is>
          <t>TurnSignatureNeed</t>
        </is>
      </c>
      <c r="C72" t="inlineStr">
        <is>
          <t>6</t>
        </is>
      </c>
    </row>
    <row r="73">
      <c r="A73" t="inlineStr">
        <is>
          <t>Conductors</t>
        </is>
      </c>
      <c r="B73" t="inlineStr">
        <is>
          <t>TurnBeethovenMost</t>
        </is>
      </c>
      <c r="C73" t="inlineStr">
        <is>
          <t>0.5</t>
        </is>
      </c>
      <c r="D73" t="inlineStr">
        <is>
          <t>THE UNHEARING's PASSIVE : up to this much harder as the band's life runs out</t>
        </is>
      </c>
    </row>
    <row r="74">
      <c r="A74" t="inlineStr">
        <is>
          <t>Conductors</t>
        </is>
      </c>
      <c r="B74" t="inlineStr">
        <is>
          <t>TurnBoltDamage</t>
        </is>
      </c>
      <c r="C74" t="inlineStr">
        <is>
          <t>14</t>
        </is>
      </c>
      <c r="D74" t="inlineStr">
        <is>
          <t>LIGHTNING : damage to every enemy at full strength (x1)</t>
        </is>
      </c>
    </row>
    <row r="75">
      <c r="A75" t="inlineStr">
        <is>
          <t>Conductors</t>
        </is>
      </c>
      <c r="B75" t="inlineStr">
        <is>
          <t>TurnMozartRun</t>
        </is>
      </c>
      <c r="C75" t="inlineStr">
        <is>
          <t>3</t>
        </is>
      </c>
      <c r="D75" t="inlineStr">
        <is>
          <t>THE SHADOWLESS's PASSIVE : this many PERFECTs in a row give 1 breath</t>
        </is>
      </c>
    </row>
    <row r="76">
      <c r="A76" t="inlineStr">
        <is>
          <t>Conductors</t>
        </is>
      </c>
      <c r="B76" t="inlineStr">
        <is>
          <t>TurnFeatherPerStroke</t>
        </is>
      </c>
      <c r="C76" t="inlineStr">
        <is>
          <t>2</t>
        </is>
      </c>
      <c r="D76" t="inlineStr">
        <is>
          <t>FEATHER : free ATTACKs per stroke that lands (step 12, was 1 extra turn : 25 percent of STRONG runs won)</t>
        </is>
      </c>
    </row>
    <row r="77">
      <c r="A77" t="inlineStr">
        <is>
          <t>The other four of the lore</t>
        </is>
      </c>
      <c r="B77" t="inlineStr">
        <is>
          <t>TurnFugueScale</t>
        </is>
      </c>
      <c r="C77" t="inlineStr">
        <is>
          <t>1.8</t>
        </is>
      </c>
      <c r="D77" t="inlineStr">
        <is>
          <t>FUGUE : the echo plays at the SIGNATURE's strength x this (step 13 : was 1, THE METRONOME was the weakest at 44 percent)</t>
        </is>
      </c>
    </row>
    <row r="78">
      <c r="A78" t="inlineStr">
        <is>
          <t>The other four of the lore</t>
        </is>
      </c>
      <c r="B78" t="inlineStr">
        <is>
          <t>TurnPaganiniLife</t>
        </is>
      </c>
      <c r="C78" t="inlineStr">
        <is>
          <t>3</t>
        </is>
      </c>
      <c r="D78" t="inlineStr">
        <is>
          <t>THE HEARTLESS's PASSIVE : life paid for each BREATH a skill is short of</t>
        </is>
      </c>
    </row>
    <row r="79">
      <c r="A79" t="inlineStr">
        <is>
          <t>The other four of the lore</t>
        </is>
      </c>
      <c r="B79" t="inlineStr">
        <is>
          <t>TurnCapricePrice</t>
        </is>
      </c>
      <c r="C79" t="inlineStr">
        <is>
          <t>0.2</t>
        </is>
      </c>
      <c r="D79" t="inlineStr">
        <is>
          <t>CAPRICE : when it ends, every musician pays this share of their life (never below 1, step 13 : was 0.1)</t>
        </is>
      </c>
    </row>
    <row r="80">
      <c r="A80" t="inlineStr">
        <is>
          <t>The other four of the lore</t>
        </is>
      </c>
      <c r="B80" t="inlineStr">
        <is>
          <t>TurnCapricePerStroke</t>
        </is>
      </c>
      <c r="C80" t="inlineStr">
        <is>
          <t>2</t>
        </is>
      </c>
      <c r="D80" t="inlineStr">
        <is>
          <t>CAPRICE : turns per stroke that lands (step 12, a bar has more turns now)</t>
        </is>
      </c>
    </row>
    <row r="81">
      <c r="A81" t="inlineStr">
        <is>
          <t>The other four of the lore</t>
        </is>
      </c>
      <c r="B81" t="inlineStr">
        <is>
          <t>TurnLullyWindow</t>
        </is>
      </c>
      <c r="C81" t="inlineStr">
        <is>
          <t>0.01</t>
        </is>
      </c>
      <c r="D81" t="inlineStr">
        <is>
          <t>THE KING'S BATON's PASSIVE : seconds added to both parry windows (0.05 won 99 percent of STRONG runs, the others 83 to 90;</t>
        </is>
      </c>
    </row>
    <row r="82">
      <c r="A82" t="inlineStr">
        <is>
          <t>The other four of the lore</t>
        </is>
      </c>
      <c r="B82" t="inlineStr">
        <is>
          <t>TurnSunHeal</t>
        </is>
      </c>
      <c r="C82" t="inlineStr">
        <is>
          <t>8</t>
        </is>
      </c>
      <c r="D82" t="inlineStr">
        <is>
          <t>THE SUN : life back for every musician at full strength (step 13 : was 12, THE KING'S BATON was the strongest at 71 percent)</t>
        </is>
      </c>
    </row>
    <row r="83">
      <c r="A83" t="inlineStr">
        <is>
          <t>The other four of the lore</t>
        </is>
      </c>
      <c r="B83" t="inlineStr">
        <is>
          <t>TurnFannyScale</t>
        </is>
      </c>
      <c r="C83" t="inlineStr">
        <is>
          <t>0.25</t>
        </is>
      </c>
      <c r="D83" t="inlineStr">
        <is>
          <t>THE UNSIGNED's PASSIVE : FANNY's voice hits this much harder</t>
        </is>
      </c>
    </row>
    <row r="84">
      <c r="A84" t="inlineStr">
        <is>
          <t>The other four of the lore</t>
        </is>
      </c>
      <c r="B84" t="inlineStr">
        <is>
          <t>TurnFelixHeal</t>
        </is>
      </c>
      <c r="C84" t="inlineStr">
        <is>
          <t>1.5</t>
        </is>
      </c>
      <c r="D84" t="inlineStr">
        <is>
          <t>FELIX's voice heals this much more</t>
        </is>
      </c>
    </row>
    <row r="85">
      <c r="A85" t="inlineStr">
        <is>
          <t>The other four of the lore</t>
        </is>
      </c>
      <c r="B85" t="inlineStr">
        <is>
          <t>TurnFelixCrescendo</t>
        </is>
      </c>
      <c r="C85" t="inlineStr">
        <is>
          <t>1</t>
        </is>
      </c>
      <c r="D85" t="inlineStr">
        <is>
          <t>and gives this much more CRESCENDO</t>
        </is>
      </c>
    </row>
    <row r="86">
      <c r="A86" t="inlineStr">
        <is>
          <t>The other four of the lore</t>
        </is>
      </c>
      <c r="B86" t="inlineStr">
        <is>
          <t>TurnDuetDamage</t>
        </is>
      </c>
      <c r="C86" t="inlineStr">
        <is>
          <t>12</t>
        </is>
      </c>
      <c r="D86" t="inlineStr">
        <is>
          <t>TWO VOICES : damage to every enemy at full strength (step 13 : was 9 and 6, THE UNSIGNED 46 percent)</t>
        </is>
      </c>
    </row>
    <row r="87">
      <c r="A87" t="inlineStr">
        <is>
          <t>The other four of the lore</t>
        </is>
      </c>
      <c r="B87" t="inlineStr">
        <is>
          <t>TurnDuetHeal</t>
        </is>
      </c>
      <c r="C87" t="inlineStr">
        <is>
          <t>8</t>
        </is>
      </c>
      <c r="D87" t="inlineStr">
        <is>
          <t>and life back for every musician</t>
        </is>
      </c>
    </row>
    <row r="88">
      <c r="A88" t="inlineStr">
        <is>
          <t>Musician Traits in the turn battle</t>
        </is>
      </c>
      <c r="B88" t="inlineStr">
        <is>
          <t>TurnCountsWindow</t>
        </is>
      </c>
      <c r="C88" t="inlineStr">
        <is>
          <t>0.05</t>
        </is>
      </c>
      <c r="D88" t="inlineStr">
        <is>
          <t>COUNTS ALOUD (ANNA) : seconds added to her PERFECT window</t>
        </is>
      </c>
    </row>
    <row r="89">
      <c r="A89" t="inlineStr">
        <is>
          <t>Musician Traits in the turn battle</t>
        </is>
      </c>
      <c r="B89" t="inlineStr">
        <is>
          <t>TurnQuietScale</t>
        </is>
      </c>
      <c r="C89" t="inlineStr">
        <is>
          <t>1.5</t>
        </is>
      </c>
      <c r="D89" t="inlineStr">
        <is>
          <t>THE QUIET PART (KLARA) : against an enemy showing a p note</t>
        </is>
      </c>
    </row>
    <row r="90">
      <c r="A90" t="inlineStr">
        <is>
          <t>Musician Traits in the turn battle</t>
        </is>
      </c>
      <c r="B90" t="inlineStr">
        <is>
          <t>TurnMomentumMost</t>
        </is>
      </c>
      <c r="C90" t="inlineStr">
        <is>
          <t>3</t>
        </is>
      </c>
      <c r="D90" t="inlineStr">
        <is>
          <t>MOMENTUM (OTTO) : power gained by hits in a row, at most</t>
        </is>
      </c>
    </row>
    <row r="91">
      <c r="A91" t="inlineStr">
        <is>
          <t>Musician Traits in the turn battle</t>
        </is>
      </c>
      <c r="B91" t="inlineStr">
        <is>
          <t>TurnByEarScale</t>
        </is>
      </c>
      <c r="C91" t="inlineStr">
        <is>
          <t>1.5</t>
        </is>
      </c>
      <c r="D91" t="inlineStr">
        <is>
          <t>BY EAR (MALI) : against an enemy that is OFF-BEAT</t>
        </is>
      </c>
    </row>
    <row r="92">
      <c r="A92" t="inlineStr">
        <is>
          <t>Musician Traits in the turn battle</t>
        </is>
      </c>
      <c r="B92" t="inlineStr">
        <is>
          <t>TurnHeldNoteShare</t>
        </is>
      </c>
      <c r="C92" t="inlineStr">
        <is>
          <t>0.4</t>
        </is>
      </c>
      <c r="D92" t="inlineStr">
        <is>
          <t>HELD NOTE (CHAI) : his ATTACK hits again for this share</t>
        </is>
      </c>
    </row>
    <row r="93">
      <c r="A93" t="inlineStr">
        <is>
          <t>Musician Traits in the turn battle</t>
        </is>
      </c>
      <c r="B93" t="inlineStr">
        <is>
          <t>TurnStepBetterScale</t>
        </is>
      </c>
      <c r="C93" t="inlineStr">
        <is>
          <t>1.3</t>
        </is>
      </c>
      <c r="D93" t="inlineStr">
        <is>
          <t>ONE STEP BETTER (NUAN) : against an enemy showing an f note</t>
        </is>
      </c>
    </row>
    <row r="94">
      <c r="A94" t="inlineStr">
        <is>
          <t>Musician Traits in the turn battle</t>
        </is>
      </c>
      <c r="B94" t="inlineStr">
        <is>
          <t>TurnFourBarsEvery</t>
        </is>
      </c>
      <c r="C94" t="inlineStr">
        <is>
          <t>4</t>
        </is>
      </c>
      <c r="D94" t="inlineStr">
        <is>
          <t>FOUR BARS STRAIGHT (LUKA) : every this many ATTACKs</t>
        </is>
      </c>
    </row>
    <row r="95">
      <c r="A95" t="inlineStr">
        <is>
          <t>Musician Traits in the turn battle</t>
        </is>
      </c>
      <c r="B95" t="inlineStr">
        <is>
          <t>TurnFourBarsScale</t>
        </is>
      </c>
      <c r="C95" t="inlineStr">
        <is>
          <t>2</t>
        </is>
      </c>
      <c r="D95" t="inlineStr">
        <is>
          <t>hits this much harder</t>
        </is>
      </c>
    </row>
    <row r="96">
      <c r="A96" t="inlineStr">
        <is>
          <t>Musician Traits in the turn battle</t>
        </is>
      </c>
      <c r="B96" t="inlineStr">
        <is>
          <t>TurnLateBonus</t>
        </is>
      </c>
      <c r="C96" t="inlineStr">
        <is>
          <t>0.12</t>
        </is>
      </c>
      <c r="D96" t="inlineStr">
        <is>
          <t>FASHIONABLY LATE (IRIS) : seconds after the GOOD window a late stroke still counts</t>
        </is>
      </c>
    </row>
    <row r="97">
      <c r="A97" t="inlineStr">
        <is>
          <t>Musician Traits in the turn battle</t>
        </is>
      </c>
      <c r="B97" t="inlineStr">
        <is>
          <t>TurnThunderSoften</t>
        </is>
      </c>
      <c r="C97" t="inlineStr">
        <is>
          <t>2</t>
        </is>
      </c>
      <c r="D97" t="inlineStr">
        <is>
          <t>THE WHOLE FLOOR (BORIS) : taken off each note of the enemy's next attack</t>
        </is>
      </c>
    </row>
    <row r="98">
      <c r="A98" t="inlineStr">
        <is>
          <t>ARCHIVE</t>
        </is>
      </c>
      <c r="B98" t="inlineStr">
        <is>
          <t>EchoesPerWin</t>
        </is>
      </c>
      <c r="C98" t="inlineStr">
        <is>
          <t>3</t>
        </is>
      </c>
      <c r="D98" t="inlineStr">
        <is>
          <t>each fight won</t>
        </is>
      </c>
    </row>
    <row r="99">
      <c r="A99" t="inlineStr">
        <is>
          <t>ARCHIVE</t>
        </is>
      </c>
      <c r="B99" t="inlineStr">
        <is>
          <t>EchoesPerFloor</t>
        </is>
      </c>
      <c r="C99" t="inlineStr">
        <is>
          <t>10</t>
        </is>
      </c>
      <c r="D99" t="inlineStr">
        <is>
          <t>each floor cleared</t>
        </is>
      </c>
    </row>
    <row r="100">
      <c r="A100" t="inlineStr">
        <is>
          <t>ARCHIVE</t>
        </is>
      </c>
      <c r="B100" t="inlineStr">
        <is>
          <t>EchoesRunWon</t>
        </is>
      </c>
      <c r="C100" t="inlineStr">
        <is>
          <t>25</t>
        </is>
      </c>
      <c r="D100" t="inlineStr">
        <is>
          <t>the whole run won</t>
        </is>
      </c>
    </row>
    <row r="101">
      <c r="A101" t="inlineStr">
        <is>
          <t>ARCHIVE</t>
        </is>
      </c>
      <c r="B101" t="inlineStr">
        <is>
          <t>EchoesMaestro</t>
        </is>
      </c>
      <c r="C101" t="inlineStr">
        <is>
          <t>1.5</t>
        </is>
      </c>
      <c r="D101" t="inlineStr">
        <is>
          <t>MAESTRO pays more</t>
        </is>
      </c>
    </row>
    <row r="102">
      <c r="A102" t="inlineStr">
        <is>
          <t>ARCHIVE</t>
        </is>
      </c>
      <c r="B102" t="inlineStr">
        <is>
          <t>ArchiveLifePerLevel</t>
        </is>
      </c>
      <c r="C102" t="inlineStr">
        <is>
          <t>2</t>
        </is>
      </c>
      <c r="D102" t="inlineStr">
        <is>
          <t>STRONGER BAND</t>
        </is>
      </c>
    </row>
    <row r="103">
      <c r="A103" t="inlineStr">
        <is>
          <t>ARCHIVE</t>
        </is>
      </c>
      <c r="B103" t="inlineStr">
        <is>
          <t>ArchiveBreathPerLevel</t>
        </is>
      </c>
      <c r="C103" t="inlineStr">
        <is>
          <t>1</t>
        </is>
      </c>
      <c r="D103" t="inlineStr">
        <is>
          <t>DEEP BREATH</t>
        </is>
      </c>
    </row>
    <row r="104">
      <c r="A104" t="inlineStr">
        <is>
          <t>ARCHIVE</t>
        </is>
      </c>
      <c r="B104" t="inlineStr">
        <is>
          <t>ArchiveSignaturePerLevel</t>
        </is>
      </c>
      <c r="C104" t="inlineStr">
        <is>
          <t>2</t>
        </is>
      </c>
      <c r="D104" t="inlineStr">
        <is>
          <t>WARM UP</t>
        </is>
      </c>
    </row>
    <row r="105">
      <c r="A105" t="inlineStr">
        <is>
          <t>ARCHIVE</t>
        </is>
      </c>
      <c r="B105" t="inlineStr">
        <is>
          <t>ArchiveShardsPerLevel</t>
        </is>
      </c>
      <c r="C105" t="inlineStr">
        <is>
          <t>20</t>
        </is>
      </c>
      <c r="D105" t="inlineStr">
        <is>
          <t>SAVINGS</t>
        </is>
      </c>
    </row>
    <row r="106">
      <c r="A106" t="inlineStr">
        <is>
          <t>ARCHIVE</t>
        </is>
      </c>
      <c r="B106" t="inlineStr">
        <is>
          <t>ArchiveStagePerLevel</t>
        </is>
      </c>
      <c r="C106" t="inlineStr">
        <is>
          <t>1</t>
        </is>
      </c>
      <c r="D106" t="inlineStr">
        <is>
          <t>FULL STAGE : musicians more on the field at the start (step 12)</t>
        </is>
      </c>
    </row>
    <row r="107">
      <c r="A107" t="inlineStr">
        <is>
          <t>Turn Motifs</t>
        </is>
      </c>
      <c r="B107" t="inlineStr">
        <is>
          <t>TurnReedCaseHeal</t>
        </is>
      </c>
      <c r="C107" t="inlineStr">
        <is>
          <t>1.5</t>
        </is>
      </c>
      <c r="D107" t="inlineStr">
        <is>
          <t>REED CASE : wind players' healing</t>
        </is>
      </c>
    </row>
    <row r="108">
      <c r="A108" t="inlineStr">
        <is>
          <t>Turn Motifs</t>
        </is>
      </c>
      <c r="B108" t="inlineStr">
        <is>
          <t>TurnSpareSticksOffBeat</t>
        </is>
      </c>
      <c r="C108" t="inlineStr">
        <is>
          <t>1.5</t>
        </is>
      </c>
      <c r="D108" t="inlineStr">
        <is>
          <t>SPARE STICKS : percussion skills' OFF-BEAT</t>
        </is>
      </c>
    </row>
    <row r="109">
      <c r="A109" t="inlineStr">
        <is>
          <t>Turn Motifs</t>
        </is>
      </c>
      <c r="B109" t="inlineStr">
        <is>
          <t>TurnPianissimoBreath</t>
        </is>
      </c>
      <c r="C109" t="inlineStr">
        <is>
          <t>1</t>
        </is>
      </c>
      <c r="D109" t="inlineStr">
        <is>
          <t>PIANISSIMO : more breath for a p note parried PERFECT</t>
        </is>
      </c>
    </row>
    <row r="110">
      <c r="A110" t="inlineStr">
        <is>
          <t>Turn Motifs</t>
        </is>
      </c>
      <c r="B110" t="inlineStr">
        <is>
          <t>TurnBreathMarkStart</t>
        </is>
      </c>
      <c r="C110" t="inlineStr">
        <is>
          <t>2</t>
        </is>
      </c>
      <c r="D110" t="inlineStr">
        <is>
          <t>BREATH MARK : more breath at the start of a fight</t>
        </is>
      </c>
    </row>
    <row r="111">
      <c r="A111" t="inlineStr">
        <is>
          <t>Turn Motifs</t>
        </is>
      </c>
      <c r="B111" t="inlineStr">
        <is>
          <t>TurnTuttiScale</t>
        </is>
      </c>
      <c r="C111" t="inlineStr">
        <is>
          <t>1.25</t>
        </is>
      </c>
      <c r="D111" t="inlineStr">
        <is>
          <t>TUTTI : skills that reach everyone</t>
        </is>
      </c>
    </row>
    <row r="112">
      <c r="A112" t="inlineStr">
        <is>
          <t>Turn Motifs</t>
        </is>
      </c>
      <c r="B112" t="inlineStr">
        <is>
          <t>TurnRubatoMiss</t>
        </is>
      </c>
      <c r="C112" t="inlineStr">
        <is>
          <t>0.6</t>
        </is>
      </c>
      <c r="D112" t="inlineStr">
        <is>
          <t>RUBATO : a skill note you MISS still plays at this (step 12)</t>
        </is>
      </c>
    </row>
    <row r="113">
      <c r="A113" t="inlineStr">
        <is>
          <t>Turn Motifs</t>
        </is>
      </c>
      <c r="B113" t="inlineStr">
        <is>
          <t>TurnCrescendoStart</t>
        </is>
      </c>
      <c r="C113" t="inlineStr">
        <is>
          <t>1</t>
        </is>
      </c>
      <c r="D113" t="inlineStr">
        <is>
          <t>CRESCENDO : stacks on every musician at the start</t>
        </is>
      </c>
    </row>
    <row r="114">
      <c r="A114" t="inlineStr">
        <is>
          <t>Turn Motifs</t>
        </is>
      </c>
      <c r="B114" t="inlineStr">
        <is>
          <t>TurnSforzandoScale</t>
        </is>
      </c>
      <c r="C114" t="inlineStr">
        <is>
          <t>1.3</t>
        </is>
      </c>
      <c r="D114" t="inlineStr">
        <is>
          <t>SFORZANDO : a PERFECT f note</t>
        </is>
      </c>
    </row>
    <row r="115">
      <c r="A115" t="inlineStr">
        <is>
          <t>Turn Motifs</t>
        </is>
      </c>
      <c r="B115" t="inlineStr">
        <is>
          <t>TurnOvertureScale</t>
        </is>
      </c>
      <c r="C115" t="inlineStr">
        <is>
          <t>2</t>
        </is>
      </c>
      <c r="D115" t="inlineStr">
        <is>
          <t>OVERTURE : the band's first hit of a fight</t>
        </is>
      </c>
    </row>
    <row r="116">
      <c r="A116" t="inlineStr">
        <is>
          <t>Turn Motifs</t>
        </is>
      </c>
      <c r="B116" t="inlineStr">
        <is>
          <t>TurnCounterpointScale</t>
        </is>
      </c>
      <c r="C116" t="inlineStr">
        <is>
          <t>2</t>
        </is>
      </c>
      <c r="D116" t="inlineStr">
        <is>
          <t>COUNTERPOINT : the COUNTER</t>
        </is>
      </c>
    </row>
    <row r="117">
      <c r="A117" t="inlineStr">
        <is>
          <t>Turn Motifs</t>
        </is>
      </c>
      <c r="B117" t="inlineStr">
        <is>
          <t>TurnAccelerandoShakes</t>
        </is>
      </c>
      <c r="C117" t="inlineStr">
        <is>
          <t>2</t>
        </is>
      </c>
      <c r="D117" t="inlineStr">
        <is>
          <t>ACCELERANDO : each shake of a roll counts this many</t>
        </is>
      </c>
    </row>
    <row r="118">
      <c r="A118" t="inlineStr">
        <is>
          <t>Turn Motifs</t>
        </is>
      </c>
      <c r="B118" t="inlineStr">
        <is>
          <t>TurnGraceTimes</t>
        </is>
      </c>
      <c r="C118" t="inlineStr">
        <is>
          <t>2</t>
        </is>
      </c>
      <c r="D118" t="inlineStr">
        <is>
          <t>GRACE NOTE : a spark that lands does its skill this many times</t>
        </is>
      </c>
    </row>
    <row r="119">
      <c r="A119" t="inlineStr">
        <is>
          <t>Turn Motifs</t>
        </is>
      </c>
      <c r="B119" t="inlineStr">
        <is>
          <t>TurnMarcatoOffBeat</t>
        </is>
      </c>
      <c r="C119" t="inlineStr">
        <is>
          <t>2</t>
        </is>
      </c>
      <c r="D119" t="inlineStr">
        <is>
          <t>MARCATO : a PERFECT attack's OFF-BEAT, times this</t>
        </is>
      </c>
    </row>
    <row r="120">
      <c r="A120" t="inlineStr">
        <is>
          <t>Turn Motifs</t>
        </is>
      </c>
      <c r="B120" t="inlineStr">
        <is>
          <t>TurnConBrioNeed</t>
        </is>
      </c>
      <c r="C120" t="inlineStr">
        <is>
          <t>4</t>
        </is>
      </c>
      <c r="D120" t="inlineStr">
        <is>
          <t>CON BRIO : PERFECTs the SIGNATURE needs instead</t>
        </is>
      </c>
    </row>
    <row r="121">
      <c r="A121" t="inlineStr">
        <is>
          <t>Turn Motifs</t>
        </is>
      </c>
      <c r="B121" t="inlineStr">
        <is>
          <t>TurnCodaBelow</t>
        </is>
      </c>
      <c r="C121" t="inlineStr">
        <is>
          <t>0.25</t>
        </is>
      </c>
      <c r="D121" t="inlineStr">
        <is>
          <t>CODA : an enemy under this share of its life</t>
        </is>
      </c>
    </row>
    <row r="122">
      <c r="A122" t="inlineStr">
        <is>
          <t>Turn Motifs</t>
        </is>
      </c>
      <c r="B122" t="inlineStr">
        <is>
          <t>TurnCodaScale</t>
        </is>
      </c>
      <c r="C122" t="inlineStr">
        <is>
          <t>1.5</t>
        </is>
      </c>
      <c r="D122" t="inlineStr">
        <is>
          <t>takes this much more</t>
        </is>
      </c>
    </row>
    <row r="123">
      <c r="A123" t="inlineStr">
        <is>
          <t>ONE BAR motifs</t>
        </is>
      </c>
      <c r="B123" t="inlineStr">
        <is>
          <t>TurnDownbeatScale</t>
        </is>
      </c>
      <c r="C123" t="inlineStr">
        <is>
          <t>1.5</t>
        </is>
      </c>
      <c r="D123" t="inlineStr">
        <is>
          <t>DOWNBEAT : the first move of a bar</t>
        </is>
      </c>
    </row>
    <row r="124">
      <c r="A124" t="inlineStr">
        <is>
          <t>ONE BAR motifs</t>
        </is>
      </c>
      <c r="B124" t="inlineStr">
        <is>
          <t>TurnEntranceScale</t>
        </is>
      </c>
      <c r="C124" t="inlineStr">
        <is>
          <t>2</t>
        </is>
      </c>
      <c r="D124" t="inlineStr">
        <is>
          <t>ENTRANCE : a called musician's moves in their first bar</t>
        </is>
      </c>
    </row>
    <row r="125">
      <c r="A125" t="inlineStr">
        <is>
          <t>ONE BAR motifs</t>
        </is>
      </c>
      <c r="B125" t="inlineStr">
        <is>
          <t>TurnGreenRoomHeal</t>
        </is>
      </c>
      <c r="C125" t="inlineStr">
        <is>
          <t>2</t>
        </is>
      </c>
      <c r="D125" t="inlineStr">
        <is>
          <t>GREEN ROOM : life back for each musician on the BENCH at the end of a bar</t>
        </is>
      </c>
    </row>
    <row r="126">
      <c r="A126" t="inlineStr">
        <is>
          <t>ONE BAR motifs</t>
        </is>
      </c>
      <c r="B126" t="inlineStr">
        <is>
          <t>TurnUnisonScale</t>
        </is>
      </c>
      <c r="C126" t="inlineStr">
        <is>
          <t>2</t>
        </is>
      </c>
      <c r="D126" t="inlineStr">
        <is>
          <t>UNISON : the last ATTACK of a bar that all goes at one enemy</t>
        </is>
      </c>
    </row>
    <row r="127">
      <c r="A127" t="inlineStr">
        <is>
          <t>Turn Feel</t>
        </is>
      </c>
      <c r="B127" t="inlineStr">
        <is>
          <t>TurnRingTime</t>
        </is>
      </c>
      <c r="C127" t="inlineStr">
        <is>
          <t>1.1</t>
        </is>
      </c>
      <c r="D127" t="inlineStr">
        <is>
          <t>from a note showing to the moment to swipe</t>
        </is>
      </c>
    </row>
    <row r="128">
      <c r="A128" t="inlineStr">
        <is>
          <t>Turn Feel</t>
        </is>
      </c>
      <c r="B128" t="inlineStr">
        <is>
          <t>MaestroTurnRingTime</t>
        </is>
      </c>
      <c r="C128" t="inlineStr">
        <is>
          <t>0.8</t>
        </is>
      </c>
      <c r="D128" t="inlineStr">
        <is>
          <t>MAESTRO</t>
        </is>
      </c>
    </row>
    <row r="129">
      <c r="A129" t="inlineStr">
        <is>
          <t>Turn Feel</t>
        </is>
      </c>
      <c r="B129" t="inlineStr">
        <is>
          <t>TurnNoteGap</t>
        </is>
      </c>
      <c r="C129" t="inlineStr">
        <is>
          <t>0.55</t>
        </is>
      </c>
      <c r="D129" t="inlineStr">
        <is>
          <t>between the notes of one enemy attack</t>
        </is>
      </c>
    </row>
    <row r="130">
      <c r="A130" t="inlineStr">
        <is>
          <t>Turn Feel</t>
        </is>
      </c>
      <c r="B130" t="inlineStr">
        <is>
          <t>TurnPause</t>
        </is>
      </c>
      <c r="C130" t="inlineStr">
        <is>
          <t>0.8</t>
        </is>
      </c>
      <c r="D130" t="inlineStr">
        <is>
          <t>after a turn, before the next one starts</t>
        </is>
      </c>
    </row>
    <row r="131">
      <c r="A131" t="inlineStr">
        <is>
          <t>Turn Feel</t>
        </is>
      </c>
      <c r="B131" t="inlineStr">
        <is>
          <t>TurnHitStop</t>
        </is>
      </c>
      <c r="C131" t="inlineStr">
        <is>
          <t>0.075</t>
        </is>
      </c>
      <c r="D131" t="inlineStr">
        <is>
          <t>the band and TACET freeze for a moment on a PERFECT</t>
        </is>
      </c>
    </row>
    <row r="132">
      <c r="A132" t="inlineStr">
        <is>
          <t>Turn Feel</t>
        </is>
      </c>
      <c r="B132" t="inlineStr">
        <is>
          <t>TurnStrikeTime</t>
        </is>
      </c>
      <c r="C132" t="inlineStr">
        <is>
          <t>0.42</t>
        </is>
      </c>
      <c r="D132" t="inlineStr">
        <is>
          <t>ONE BAR : how long an ATTACK's lunge takes, there and back</t>
        </is>
      </c>
    </row>
    <row r="133">
      <c r="A133" t="inlineStr">
        <is>
          <t>Turn Feel</t>
        </is>
      </c>
      <c r="B133" t="inlineStr">
        <is>
          <t>TurnStrikeImpact</t>
        </is>
      </c>
      <c r="C133" t="inlineStr">
        <is>
          <t>0.16</t>
        </is>
      </c>
      <c r="D133" t="inlineStr">
        <is>
          <t>when in it the hit lands</t>
        </is>
      </c>
    </row>
    <row r="134">
      <c r="A134" t="inlineStr">
        <is>
          <t>Turn Feel</t>
        </is>
      </c>
      <c r="B134" t="inlineStr">
        <is>
          <t>TurnStrikeStop</t>
        </is>
      </c>
      <c r="C134" t="inlineStr">
        <is>
          <t>0.07</t>
        </is>
      </c>
      <c r="D134" t="inlineStr">
        <is>
          <t>the freeze when it lands</t>
        </is>
      </c>
    </row>
    <row r="135">
      <c r="A135" t="inlineStr">
        <is>
          <t>Turn Feel</t>
        </is>
      </c>
      <c r="B135" t="inlineStr">
        <is>
          <t>TurnKillStop</t>
        </is>
      </c>
      <c r="C135" t="inlineStr">
        <is>
          <t>0.18</t>
        </is>
      </c>
      <c r="D135" t="inlineStr">
        <is>
          <t>the freeze when an enemy falls silent</t>
        </is>
      </c>
    </row>
    <row r="136">
      <c r="A136" t="inlineStr">
        <is>
          <t>Turn Feel</t>
        </is>
      </c>
      <c r="B136" t="inlineStr">
        <is>
          <t>TurnEndTime</t>
        </is>
      </c>
      <c r="C136" t="inlineStr">
        <is>
          <t>2.2</t>
        </is>
      </c>
      <c r="D136" t="inlineStr">
        <is>
          <t>the win or lose banner stays this long</t>
        </is>
      </c>
    </row>
    <row r="137">
      <c r="A137" t="inlineStr">
        <is>
          <t>Turn Feel</t>
        </is>
      </c>
      <c r="B137" t="inlineStr">
        <is>
          <t>TurnSparkGap</t>
        </is>
      </c>
      <c r="C137" t="inlineStr">
        <is>
          <t>0.3</t>
        </is>
      </c>
      <c r="D137" t="inlineStr">
        <is>
          <t>a spark comes this soon after the note before it</t>
        </is>
      </c>
    </row>
    <row r="138">
      <c r="A138" t="inlineStr">
        <is>
          <t>Turn Feel</t>
        </is>
      </c>
      <c r="B138" t="inlineStr">
        <is>
          <t>TurnHoldTime</t>
        </is>
      </c>
      <c r="C138" t="inlineStr">
        <is>
          <t>0.8</t>
        </is>
      </c>
      <c r="D138" t="inlineStr">
        <is>
          <t>how long a HOLD note wants holding</t>
        </is>
      </c>
    </row>
    <row r="139">
      <c r="A139" t="inlineStr">
        <is>
          <t>Turn Feel</t>
        </is>
      </c>
      <c r="B139" t="inlineStr">
        <is>
          <t>TurnHoldStill</t>
        </is>
      </c>
      <c r="C139" t="inlineStr">
        <is>
          <t>260</t>
        </is>
      </c>
      <c r="D139" t="inlineStr">
        <is>
          <t>pixels per second the baton may drift and still count as still</t>
        </is>
      </c>
    </row>
    <row r="140">
      <c r="A140" t="inlineStr">
        <is>
          <t>Turn Feel</t>
        </is>
      </c>
      <c r="B140" t="inlineStr">
        <is>
          <t>TurnRollTime</t>
        </is>
      </c>
      <c r="C140" t="inlineStr">
        <is>
          <t>1.2</t>
        </is>
      </c>
      <c r="D140" t="inlineStr">
        <is>
          <t>how long a ROLL note lasts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3" min="1" max="1"/>
    <col width="10" customWidth="1" style="33" min="2" max="2"/>
    <col width="14" customWidth="1" style="33" min="3" max="3"/>
    <col width="8" customWidth="1" style="33" min="4" max="4"/>
    <col width="22" customWidth="1" style="33" min="5" max="5"/>
    <col width="30" customWidth="1" style="33" min="6" max="6"/>
    <col width="26" customWidth="1" style="33" min="7" max="7"/>
    <col width="70" customWidth="1" style="33" min="8" max="8"/>
  </cols>
  <sheetData>
    <row r="1">
      <c r="A1" s="67" t="inlineStr">
        <is>
          <t>Enemy</t>
        </is>
      </c>
      <c r="B1" s="67" t="inlineStr">
        <is>
          <t>Kind</t>
        </is>
      </c>
      <c r="C1" s="67" t="inlineStr">
        <is>
          <t>Life (floor 1)</t>
        </is>
      </c>
      <c r="D1" s="67" t="inlineStr">
        <is>
          <t>Speed</t>
        </is>
      </c>
      <c r="E1" s="67" t="inlineStr">
        <is>
          <t>Note power (avg Pattern)</t>
        </is>
      </c>
      <c r="F1" s="67" t="inlineStr">
        <is>
          <t>Phrases</t>
        </is>
      </c>
      <c r="G1" s="67" t="inlineStr">
        <is>
          <t>Trait (from floor)</t>
        </is>
      </c>
      <c r="H1" s="67" t="inlineStr">
        <is>
          <t>Trait in the turn battle</t>
        </is>
      </c>
      <c r="I1" s="67" t="inlineStr">
        <is>
          <t>CUT IN (speed 5 or more)</t>
        </is>
      </c>
    </row>
    <row r="2">
      <c r="A2" t="inlineStr">
        <is>
          <t>HUSH</t>
        </is>
      </c>
      <c r="B2" t="inlineStr">
        <is>
          <t>Normal</t>
        </is>
      </c>
      <c r="C2" t="inlineStr">
        <is>
          <t>50</t>
        </is>
      </c>
      <c r="D2" t="inlineStr">
        <is>
          <t>4</t>
        </is>
      </c>
      <c r="E2" t="n">
        <v>4</v>
      </c>
      <c r="F2" t="inlineStr">
        <is>
          <t>Dp Up, Lp Rp Dp</t>
        </is>
      </c>
      <c r="G2" t="inlineStr">
        <is>
          <t>ECHO FADES (2)</t>
        </is>
      </c>
      <c r="H2" t="inlineStr">
        <is>
          <t>Each note that gets through adds 1 DISSONANCE.</t>
        </is>
      </c>
      <c r="I2" t="inlineStr"/>
    </row>
    <row r="3">
      <c r="A3" t="inlineStr">
        <is>
          <t>DEAD AIR</t>
        </is>
      </c>
      <c r="B3" t="inlineStr">
        <is>
          <t>Normal</t>
        </is>
      </c>
      <c r="C3" t="inlineStr">
        <is>
          <t>50</t>
        </is>
      </c>
      <c r="D3" t="inlineStr">
        <is>
          <t>4</t>
        </is>
      </c>
      <c r="E3" t="n">
        <v>4</v>
      </c>
      <c r="F3" t="inlineStr">
        <is>
          <t>Lmf Rmf, Dmf Dmf Umf</t>
        </is>
      </c>
      <c r="G3" t="inlineStr">
        <is>
          <t>FILLS THE GAPS (2)</t>
        </is>
      </c>
      <c r="H3" t="inlineStr">
        <is>
          <t>A note you miss hits 50 percent harder.</t>
        </is>
      </c>
      <c r="I3" t="inlineStr"/>
    </row>
    <row r="4">
      <c r="A4" t="inlineStr">
        <is>
          <t>THE LULL</t>
        </is>
      </c>
      <c r="B4" t="inlineStr">
        <is>
          <t>Normal</t>
        </is>
      </c>
      <c r="C4" t="inlineStr">
        <is>
          <t>60</t>
        </is>
      </c>
      <c r="D4" t="inlineStr">
        <is>
          <t>2</t>
        </is>
      </c>
      <c r="E4" t="n">
        <v>4</v>
      </c>
      <c r="F4" t="inlineStr">
        <is>
          <t>Dp Dp, Up Dp Up</t>
        </is>
      </c>
      <c r="G4" t="inlineStr">
        <is>
          <t>LULLABY (2)</t>
        </is>
      </c>
      <c r="H4" t="inlineStr">
        <is>
          <t>Every third turn it hums instead of attacking and gets back 12 life.</t>
        </is>
      </c>
      <c r="I4" t="inlineStr"/>
    </row>
    <row r="5">
      <c r="A5" t="inlineStr">
        <is>
          <t>STATIC</t>
        </is>
      </c>
      <c r="B5" t="inlineStr">
        <is>
          <t>Normal</t>
        </is>
      </c>
      <c r="C5" t="inlineStr">
        <is>
          <t>45</t>
        </is>
      </c>
      <c r="D5" t="inlineStr">
        <is>
          <t>5</t>
        </is>
      </c>
      <c r="E5" t="n">
        <v>4</v>
      </c>
      <c r="F5" t="inlineStr">
        <is>
          <t>Lf Rp, Umf Df Lp</t>
        </is>
      </c>
      <c r="G5" t="inlineStr">
        <is>
          <t>FALSE NOTES (2)</t>
        </is>
      </c>
      <c r="H5" t="inlineStr">
        <is>
          <t>One note of each attack shows the wrong size.</t>
        </is>
      </c>
      <c r="I5" t="inlineStr">
        <is>
          <t>yes</t>
        </is>
      </c>
    </row>
    <row r="6">
      <c r="A6" t="inlineStr">
        <is>
          <t>THE MUTE CHOIR</t>
        </is>
      </c>
      <c r="B6" t="inlineStr">
        <is>
          <t>Elite</t>
        </is>
      </c>
      <c r="C6" t="inlineStr">
        <is>
          <t>120</t>
        </is>
      </c>
      <c r="D6" t="inlineStr">
        <is>
          <t>4</t>
        </is>
      </c>
      <c r="E6" t="n">
        <v>5</v>
      </c>
      <c r="F6" t="inlineStr">
        <is>
          <t>Df Df Uf, Lmf Rmf Lmf Rmf</t>
        </is>
      </c>
      <c r="G6" t="inlineStr">
        <is>
          <t>SILENT MOUTHS (1)</t>
        </is>
      </c>
      <c r="H6" t="inlineStr">
        <is>
          <t>A note that gets through takes the target's skills away for a turn.</t>
        </is>
      </c>
      <c r="I6" t="inlineStr"/>
    </row>
    <row r="7">
      <c r="A7" t="inlineStr">
        <is>
          <t>WHITE NOISE</t>
        </is>
      </c>
      <c r="B7" t="inlineStr">
        <is>
          <t>Elite</t>
        </is>
      </c>
      <c r="C7" t="inlineStr">
        <is>
          <t>110</t>
        </is>
      </c>
      <c r="D7" t="inlineStr">
        <is>
          <t>6</t>
        </is>
      </c>
      <c r="E7" t="n">
        <v>5</v>
      </c>
      <c r="F7" t="inlineStr">
        <is>
          <t>Lp Rp Lp Rp, Up Dp Up Dp</t>
        </is>
      </c>
      <c r="G7" t="inlineStr">
        <is>
          <t>NO REST (1)</t>
        </is>
      </c>
      <c r="H7" t="inlineStr">
        <is>
          <t>One note more in every attack, and parrying it gives no BREATH.</t>
        </is>
      </c>
      <c r="I7" t="inlineStr">
        <is>
          <t>yes</t>
        </is>
      </c>
    </row>
    <row r="8">
      <c r="A8" t="inlineStr">
        <is>
          <t>REQUIEM</t>
        </is>
      </c>
      <c r="B8" t="inlineStr">
        <is>
          <t>Boss</t>
        </is>
      </c>
      <c r="C8" t="inlineStr">
        <is>
          <t>250</t>
        </is>
      </c>
      <c r="D8" t="inlineStr">
        <is>
          <t>5</t>
        </is>
      </c>
      <c r="E8" t="n">
        <v>6</v>
      </c>
      <c r="F8" t="inlineStr">
        <is>
          <t>Df Lmf Rmf Uf, Lf Rf Lf Rf</t>
        </is>
      </c>
      <c r="G8" t="inlineStr">
        <is>
          <t>UNFINISHED (1)</t>
        </is>
      </c>
      <c r="H8" t="inlineStr">
        <is>
          <t>Below half life it swaps left and right and plays faster.</t>
        </is>
      </c>
      <c r="I8" t="inlineStr">
        <is>
          <t>yes</t>
        </is>
      </c>
    </row>
    <row r="9">
      <c r="A9" t="inlineStr">
        <is>
          <t>THE NAMELESS MASTER</t>
        </is>
      </c>
      <c r="B9" t="inlineStr">
        <is>
          <t>Boss</t>
        </is>
      </c>
      <c r="C9" t="inlineStr">
        <is>
          <t>230</t>
        </is>
      </c>
      <c r="D9" t="inlineStr">
        <is>
          <t>4</t>
        </is>
      </c>
      <c r="E9" t="n">
        <v>4</v>
      </c>
      <c r="F9" t="inlineStr">
        <is>
          <t>Dmf Umf Lmf, Rf Lf Dp Up</t>
        </is>
      </c>
      <c r="G9" t="inlineStr">
        <is>
          <t>ANSWER BETTER (1)</t>
        </is>
      </c>
      <c r="H9" t="inlineStr">
        <is>
          <t>It answers with the notes of the last skill your band played.</t>
        </is>
      </c>
      <c r="I9" t="inlineStr"/>
    </row>
    <row r="10">
      <c r="A10" t="inlineStr">
        <is>
          <t>THE DEVIL'S STRING</t>
        </is>
      </c>
      <c r="B10" t="inlineStr">
        <is>
          <t>Boss</t>
        </is>
      </c>
      <c r="C10" t="inlineStr">
        <is>
          <t>260</t>
        </is>
      </c>
      <c r="D10" t="inlineStr">
        <is>
          <t>6</t>
        </is>
      </c>
      <c r="E10" t="n">
        <v>8</v>
      </c>
      <c r="F10" t="inlineStr">
        <is>
          <t>Rf Rf Lf, Uf Df Uf Df</t>
        </is>
      </c>
      <c r="G10" t="inlineStr">
        <is>
          <t>THE BARGAIN (1)</t>
        </is>
      </c>
      <c r="H10" t="inlineStr">
        <is>
          <t>Each of its attacks steals 1 BREATH.</t>
        </is>
      </c>
      <c r="I10" t="inlineStr">
        <is>
          <t>yes</t>
        </is>
      </c>
    </row>
    <row r="11">
      <c r="A11" t="inlineStr">
        <is>
          <t>ROOM TONE</t>
        </is>
      </c>
      <c r="B11" t="inlineStr">
        <is>
          <t>Normal</t>
        </is>
      </c>
      <c r="C11" t="inlineStr">
        <is>
          <t>45</t>
        </is>
      </c>
      <c r="D11" t="inlineStr">
        <is>
          <t>2</t>
        </is>
      </c>
      <c r="E11" t="n">
        <v>4</v>
      </c>
      <c r="F11" t="inlineStr">
        <is>
          <t>Dp, Up Dp</t>
        </is>
      </c>
      <c r="G11" t="inlineStr">
        <is>
          <t>HOLDS THE ROOM (2)</t>
        </is>
      </c>
      <c r="H11" t="inlineStr">
        <is>
          <t>While it stands, the other enemies take 30 percent less.</t>
        </is>
      </c>
      <c r="I11" t="inlineStr"/>
    </row>
    <row r="12">
      <c r="A12" t="inlineStr">
        <is>
          <t>THE CUE</t>
        </is>
      </c>
      <c r="B12" t="inlineStr">
        <is>
          <t>Normal</t>
        </is>
      </c>
      <c r="C12" t="inlineStr">
        <is>
          <t>55</t>
        </is>
      </c>
      <c r="D12" t="inlineStr">
        <is>
          <t>5</t>
        </is>
      </c>
      <c r="E12" t="n">
        <v>4</v>
      </c>
      <c r="F12" t="inlineStr">
        <is>
          <t>Rmf Lmf, Uf</t>
        </is>
      </c>
      <c r="G12" t="inlineStr">
        <is>
          <t>ON CUE (2)</t>
        </is>
      </c>
      <c r="H12" t="inlineStr">
        <is>
          <t>It always strikes the musician who was CALLED in last.</t>
        </is>
      </c>
      <c r="I12" t="inlineStr">
        <is>
          <t>yes</t>
        </is>
      </c>
    </row>
    <row r="13">
      <c r="A13" t="inlineStr">
        <is>
          <t>THE DAMPER</t>
        </is>
      </c>
      <c r="B13" t="inlineStr">
        <is>
          <t>Normal</t>
        </is>
      </c>
      <c r="C13" t="inlineStr">
        <is>
          <t>42</t>
        </is>
      </c>
      <c r="D13" t="inlineStr">
        <is>
          <t>3</t>
        </is>
      </c>
      <c r="E13" t="n">
        <v>4</v>
      </c>
      <c r="F13" t="inlineStr">
        <is>
          <t>Dmf Dp, Lmf Rmf</t>
        </is>
      </c>
      <c r="G13" t="inlineStr">
        <is>
          <t>FELT HAND (2)</t>
        </is>
      </c>
      <c r="H13" t="inlineStr">
        <is>
          <t>While it stands, a CALL costs 1 more BREATH.</t>
        </is>
      </c>
      <c r="I13" t="inlineStr"/>
    </row>
    <row r="14">
      <c r="A14" t="inlineStr">
        <is>
          <t>STUTTER</t>
        </is>
      </c>
      <c r="B14" t="inlineStr">
        <is>
          <t>Normal</t>
        </is>
      </c>
      <c r="C14" t="inlineStr">
        <is>
          <t>36</t>
        </is>
      </c>
      <c r="D14" t="inlineStr">
        <is>
          <t>7</t>
        </is>
      </c>
      <c r="E14" t="n">
        <v>4</v>
      </c>
      <c r="F14" t="inlineStr">
        <is>
          <t>Lp, Rp, Up</t>
        </is>
      </c>
      <c r="G14" t="inlineStr">
        <is>
          <t>TWICE A BAR (2)</t>
        </is>
      </c>
      <c r="H14" t="inlineStr">
        <is>
          <t>It cuts in twice a bar, after the 1st and the 3rd move, one note each time.</t>
        </is>
      </c>
      <c r="I14" t="inlineStr">
        <is>
          <t>yes</t>
        </is>
      </c>
    </row>
    <row r="15">
      <c r="A15" t="inlineStr">
        <is>
          <t>THE ROUND</t>
        </is>
      </c>
      <c r="B15" t="inlineStr">
        <is>
          <t>Elite</t>
        </is>
      </c>
      <c r="C15" t="inlineStr">
        <is>
          <t>115</t>
        </is>
      </c>
      <c r="D15" t="inlineStr">
        <is>
          <t>4</t>
        </is>
      </c>
      <c r="E15" t="n">
        <v>5</v>
      </c>
      <c r="F15" t="inlineStr">
        <is>
          <t>Df Dmf Df, Lmf Rmf Lf Rf</t>
        </is>
      </c>
      <c r="G15" t="inlineStr">
        <is>
          <t>FIRST IN LINE (1)</t>
        </is>
      </c>
      <c r="H15" t="inlineStr">
        <is>
          <t>It always strikes the musician who plays first in the bar.</t>
        </is>
      </c>
      <c r="I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3" min="1" max="1"/>
    <col width="22" customWidth="1" style="33" min="2" max="2"/>
    <col width="10" customWidth="1" style="33" min="3" max="3"/>
    <col width="22" customWidth="1" style="33" min="4" max="4"/>
    <col width="60" customWidth="1" style="33" min="5" max="5"/>
    <col width="16" customWidth="1" style="33" min="6" max="6"/>
    <col width="70" customWidth="1" style="33" min="7" max="7"/>
  </cols>
  <sheetData>
    <row r="1">
      <c r="A1" s="67" t="inlineStr">
        <is>
          <t>Conductor</t>
        </is>
      </c>
      <c r="B1" s="67" t="inlineStr">
        <is>
          <t>Based on</t>
        </is>
      </c>
      <c r="C1" s="67" t="inlineStr">
        <is>
          <t>Kit</t>
        </is>
      </c>
      <c r="D1" s="67" t="inlineStr">
        <is>
          <t>PASSIVE</t>
        </is>
      </c>
      <c r="E1" s="67" t="inlineStr">
        <is>
          <t>What it does</t>
        </is>
      </c>
      <c r="F1" s="67" t="inlineStr">
        <is>
          <t>SIGNATURE</t>
        </is>
      </c>
      <c r="G1" s="67" t="inlineStr">
        <is>
          <t>What it does</t>
        </is>
      </c>
    </row>
    <row r="2">
      <c r="A2" s="68" t="inlineStr">
        <is>
          <t>THE METRONOME</t>
        </is>
      </c>
      <c r="B2" s="68" t="inlineStr">
        <is>
          <t>J. S. BACH</t>
        </is>
      </c>
      <c r="C2" s="68" t="inlineStr">
        <is>
          <t>Bach</t>
        </is>
      </c>
      <c r="D2" s="68" t="inlineStr">
        <is>
          <t>LOCKED TEMPO</t>
        </is>
      </c>
      <c r="E2" s="68" t="inlineStr">
        <is>
          <t>Any size you swing is the right size. You only keep time.</t>
        </is>
      </c>
      <c r="F2" s="68" t="inlineStr">
        <is>
          <t>FUGUE</t>
        </is>
      </c>
      <c r="G2" s="68" t="inlineStr">
        <is>
          <t>The 4/4 shape : every musician's next move plays twice. Better strokes, louder echo.</t>
        </is>
      </c>
    </row>
    <row r="3">
      <c r="A3" s="68" t="inlineStr">
        <is>
          <t>THE UNHEARING</t>
        </is>
      </c>
      <c r="B3" s="68" t="inlineStr">
        <is>
          <t>L. V. BEETHOVEN</t>
        </is>
      </c>
      <c r="C3" s="68" t="inlineStr">
        <is>
          <t>Beethoven</t>
        </is>
      </c>
      <c r="D3" s="68" t="inlineStr">
        <is>
          <t>THE CLOSER THE LOUDER</t>
        </is>
      </c>
      <c r="E3" s="68" t="inlineStr">
        <is>
          <t>The less life the band has left, the harder it hits, up to 50 percent.</t>
        </is>
      </c>
      <c r="F3" s="68" t="inlineStr">
        <is>
          <t>LIGHTNING</t>
        </is>
      </c>
      <c r="G3" s="68" t="inlineStr">
        <is>
          <t>The 4/4 shape : strikes every enemy and throws it OFF-BEAT. Better strokes, bigger strike.</t>
        </is>
      </c>
    </row>
    <row r="4">
      <c r="A4" s="68" t="inlineStr">
        <is>
          <t>THE SHADOWLESS</t>
        </is>
      </c>
      <c r="B4" s="68" t="inlineStr">
        <is>
          <t>W. A. MOZART</t>
        </is>
      </c>
      <c r="C4" s="68" t="inlineStr">
        <is>
          <t>Mozart</t>
        </is>
      </c>
      <c r="D4" s="68" t="inlineStr">
        <is>
          <t>PRODIGY</t>
        </is>
      </c>
      <c r="E4" s="68" t="inlineStr">
        <is>
          <t>3 PERFECTs in a row give 1 BREATH back.</t>
        </is>
      </c>
      <c r="F4" s="68" t="inlineStr">
        <is>
          <t>FEATHER</t>
        </is>
      </c>
      <c r="G4" s="68" t="inlineStr">
        <is>
          <t>The 4/4 shape : two free ATTACKs at the end of the bar per stroke that lands.</t>
        </is>
      </c>
    </row>
    <row r="5">
      <c r="A5" s="68" t="inlineStr">
        <is>
          <t>THE HEARTLESS</t>
        </is>
      </c>
      <c r="B5" s="68" t="inlineStr">
        <is>
          <t>NICCOLO PAGANINI</t>
        </is>
      </c>
      <c r="C5" s="68" t="inlineStr">
        <is>
          <t>Paganini</t>
        </is>
      </c>
      <c r="D5" s="68" t="inlineStr">
        <is>
          <t>BORROWED BREATH</t>
        </is>
      </c>
      <c r="E5" s="68" t="inlineStr">
        <is>
          <t>A skill short of BREATH can still be played. Each missing BREATH costs 3 life.</t>
        </is>
      </c>
      <c r="F5" s="68" t="inlineStr">
        <is>
          <t>CAPRICE</t>
        </is>
      </c>
      <c r="G5" s="68" t="inlineStr">
        <is>
          <t>The 4/4 shape : for two turns per stroke that lands, a MISS is GOOD and a GOOD is PERFECT. Then every musician pays 10 percent of their life.</t>
        </is>
      </c>
    </row>
    <row r="6">
      <c r="A6" s="68" t="inlineStr">
        <is>
          <t>THE KING'S BATON</t>
        </is>
      </c>
      <c r="B6" s="68" t="inlineStr">
        <is>
          <t>J. B. LULLY</t>
        </is>
      </c>
      <c r="C6" s="68" t="inlineStr">
        <is>
          <t>Lully</t>
        </is>
      </c>
      <c r="D6" s="68" t="inlineStr">
        <is>
          <t>STEADY HAND</t>
        </is>
      </c>
      <c r="E6" s="68" t="inlineStr">
        <is>
          <t>Blocking TACET's notes is easier : both windows are wider.</t>
        </is>
      </c>
      <c r="F6" s="68" t="inlineStr">
        <is>
          <t>THE SUN</t>
        </is>
      </c>
      <c r="G6" s="68" t="inlineStr">
        <is>
          <t>The 4/4 shape : life back for every musician, and DISSONANCE and MUTE are gone. Better strokes, more life.</t>
        </is>
      </c>
    </row>
    <row r="7">
      <c r="A7" s="68" t="inlineStr">
        <is>
          <t>THE UNSIGNED</t>
        </is>
      </c>
      <c r="B7" s="68" t="inlineStr">
        <is>
          <t>FANNY MENDELSSOHN</t>
        </is>
      </c>
      <c r="C7" s="68" t="inlineStr">
        <is>
          <t>Fanny</t>
        </is>
      </c>
      <c r="D7" s="68" t="inlineStr">
        <is>
          <t>TWO VOICES</t>
        </is>
      </c>
      <c r="E7" s="68" t="inlineStr">
        <is>
          <t>The voices take turns, one musician each : FANNY hits 25 percent harder, FELIX heals 50 percent more.</t>
        </is>
      </c>
      <c r="F7" s="68" t="inlineStr">
        <is>
          <t>DUET</t>
        </is>
      </c>
      <c r="G7" s="68" t="inlineStr">
        <is>
          <t>The 4/4 shape : FANNY strikes every enemy while FELIX heals every musician.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style="33" min="1" max="1"/>
  </cols>
  <sheetData>
    <row r="1">
      <c r="A1" t="inlineStr">
        <is>
          <t>turnsim.txt (--shots turnsim, Core/DebugShots.TurnSim.cs)</t>
        </is>
      </c>
    </row>
    <row r="2">
      <c r="A2" t="inlineStr">
        <is>
          <t>TACET TURN BATTLE BALANCE, ONE BAR  (200 fights per cell, 300 runs per player)</t>
        </is>
      </c>
    </row>
    <row r="3">
      <c r="A3" t="inlineStr">
        <is>
          <t>Players : timing spread FLAWLESS 0 / EXPERT 0.08 / STRONG 0.12 / AVERAGE 0.2 / NEWCOMER 0.3 seconds</t>
        </is>
      </c>
    </row>
    <row r="4"/>
    <row r="5">
      <c r="A5" t="inlineStr">
        <is>
          <t>FIGHTS at full life (4 musicians, 2 on the field) : WIN PERCENT  /  BARS  /  LIFE LOST PERCENT  /  CALLS</t>
        </is>
      </c>
    </row>
    <row r="6">
      <c r="A6" t="inlineStr">
        <is>
          <t xml:space="preserve">  FLAWLESS  FLOOR 1  EARLY 100%  2.0b   0% 1.8c   LATE  100%  2.9b   0% 2.0c   ELITE 100%  3.0b   0% 1.9c   BOSS  100%  4.9b   0% 2.0c   </t>
        </is>
      </c>
    </row>
    <row r="7">
      <c r="A7" t="inlineStr">
        <is>
          <t xml:space="preserve">  FLAWLESS  FLOOR 2  EARLY 100%  3.0b   0% 2.0c   LATE  100%  3.2b   0% 2.0c   ELITE 100%  3.9b   0% 2.0c   BOSS  100%  5.7b   0% 2.0c   </t>
        </is>
      </c>
    </row>
    <row r="8">
      <c r="A8" t="inlineStr">
        <is>
          <t xml:space="preserve">  FLAWLESS  FLOOR 3  EARLY 100%  3.9b   0% 2.0c   LATE  100%  4.2b   0% 2.0c   ELITE 100%  4.4b   0% 2.0c   BOSS  100%  6.9b   0% 2.0c   </t>
        </is>
      </c>
    </row>
    <row r="9">
      <c r="A9" t="inlineStr">
        <is>
          <t xml:space="preserve">  EXPERT    FLOOR 1  EARLY 100%  2.0b   2% 1.5c   LATE  100%  3.0b   5% 2.0c   ELITE 100%  3.4b   5% 2.0c   BOSS  100%  5.1b  11% 2.0c   </t>
        </is>
      </c>
    </row>
    <row r="10">
      <c r="A10" t="inlineStr">
        <is>
          <t xml:space="preserve">  EXPERT    FLOOR 2  EARLY 100%  3.3b   8% 2.0c   LATE  100%  3.5b  11% 2.0c   ELITE 100%  4.1b  14% 2.0c   BOSS  100%  6.3b  19% 2.0c   </t>
        </is>
      </c>
    </row>
    <row r="11">
      <c r="A11" t="inlineStr">
        <is>
          <t xml:space="preserve">  EXPERT    FLOOR 3  EARLY 100%  4.1b  13% 2.0c   LATE  100%  4.8b  15% 2.0c   ELITE 100%  5.2b  19% 2.0c   BOSS   99%  7.7b  31% 2.0c   </t>
        </is>
      </c>
    </row>
    <row r="12">
      <c r="A12" t="inlineStr">
        <is>
          <t xml:space="preserve">  STRONG    FLOOR 1  EARLY 100%  2.2b   6% 1.4c   LATE  100%  3.1b  11% 2.0c   ELITE 100%  3.7b  12% 1.9c   BOSS  100%  5.6b  24% 2.0c   </t>
        </is>
      </c>
    </row>
    <row r="13">
      <c r="A13" t="inlineStr">
        <is>
          <t xml:space="preserve">  STRONG    FLOOR 2  EARLY 100%  3.6b  17% 2.0c   LATE  100%  4.1b  25% 2.0c   ELITE 100%  4.7b  28% 2.0c   BOSS   87%  7.4b  50% 2.0c   </t>
        </is>
      </c>
    </row>
    <row r="14">
      <c r="A14" t="inlineStr">
        <is>
          <t xml:space="preserve">  STRONG    FLOOR 3  EARLY 100%  4.7b  29% 2.0c   LATE  100%  5.7b  39% 2.0c   ELITE  89%  6.5b  55% 2.0c   BOSS   56%  8.4b  75% 2.0c   </t>
        </is>
      </c>
    </row>
    <row r="15">
      <c r="A15" t="inlineStr">
        <is>
          <t xml:space="preserve">  AVERAGE   FLOOR 1  EARLY 100%  2.3b  10% 1.3c   LATE  100%  3.6b  23% 1.9c   ELITE 100%  4.2b  26% 1.9c   BOSS   84%  6.8b  53% 2.0c   </t>
        </is>
      </c>
    </row>
    <row r="16">
      <c r="A16" t="inlineStr">
        <is>
          <t xml:space="preserve">  AVERAGE   FLOOR 2  EARLY  99%  4.5b  37% 1.9c   LATE   77%  5.2b  65% 1.9c   ELITE  62%  5.8b  74% 1.9c   BOSS   21%  6.7b  91% 1.8c   </t>
        </is>
      </c>
    </row>
    <row r="17">
      <c r="A17" t="inlineStr">
        <is>
          <t xml:space="preserve">  AVERAGE   FLOOR 3  EARLY  56%  5.4b  76% 1.8c   LATE   16%  4.1b  95% 1.6c   ELITE   7%  4.4b  98% 1.6c   BOSS    1%  4.4b  99% 1.6c   </t>
        </is>
      </c>
    </row>
    <row r="18">
      <c r="A18" t="inlineStr">
        <is>
          <t xml:space="preserve">  NEWCOMER  FLOOR 1  EARLY 100%  2.4b  15% 1.2c   LATE  100%  4.0b  34% 1.8c   ELITE  98%  4.5b  41% 1.9c   BOSS   47%  6.9b  78% 1.8c   </t>
        </is>
      </c>
    </row>
    <row r="19">
      <c r="A19" t="inlineStr">
        <is>
          <t xml:space="preserve">  NEWCOMER  FLOOR 2  EARLY  86%  5.1b  62% 1.9c   LATE   18%  4.4b  94% 1.5c   ELITE   8%  4.6b  97% 1.7c   BOSS    0%  4.5b  99% 1.6c   </t>
        </is>
      </c>
    </row>
    <row r="20">
      <c r="A20" t="inlineStr">
        <is>
          <t xml:space="preserve">  NEWCOMER  FLOOR 3  EARLY   2%  3.3b  98% 1.4c   LATE    0%  2.1b 100% 1.0c   ELITE   0%  2.4b 100% 1.2c   BOSS    0%  2.3b 100% 1.1c   </t>
        </is>
      </c>
    </row>
    <row r="21"/>
    <row r="22">
      <c r="A22" t="inlineStr">
        <is>
          <t>EACH ENEMY leading its pack (normal floor 2 late, elite floor 2, boss floor 3), AVERAGE player : WIN PERCENT / BARS</t>
        </is>
      </c>
    </row>
    <row r="23">
      <c r="A23" t="inlineStr">
        <is>
          <t xml:space="preserve">  HUSH                   77%  5.2b</t>
        </is>
      </c>
    </row>
    <row r="24">
      <c r="A24" t="inlineStr">
        <is>
          <t xml:space="preserve">  DEAD AIR               74%  5.1b</t>
        </is>
      </c>
    </row>
    <row r="25">
      <c r="A25" t="inlineStr">
        <is>
          <t xml:space="preserve">  THE LULL               79%  5.5b</t>
        </is>
      </c>
    </row>
    <row r="26">
      <c r="A26" t="inlineStr">
        <is>
          <t xml:space="preserve">  STATIC                 79%  5.1b</t>
        </is>
      </c>
    </row>
    <row r="27">
      <c r="A27" t="inlineStr">
        <is>
          <t xml:space="preserve">  THE MUTE CHOIR         72%  6.1b</t>
        </is>
      </c>
    </row>
    <row r="28">
      <c r="A28" t="inlineStr">
        <is>
          <t xml:space="preserve">  WHITE NOISE            47%  5.7b</t>
        </is>
      </c>
    </row>
    <row r="29">
      <c r="A29" t="inlineStr">
        <is>
          <t xml:space="preserve">  REQUIEM                 0%  3.8b</t>
        </is>
      </c>
    </row>
    <row r="30">
      <c r="A30" t="inlineStr">
        <is>
          <t xml:space="preserve">  THE NAMELESS MASTER     1%  5.2b</t>
        </is>
      </c>
    </row>
    <row r="31">
      <c r="A31" t="inlineStr">
        <is>
          <t xml:space="preserve">  THE DEVIL'S STRING      0%  3.6b</t>
        </is>
      </c>
    </row>
    <row r="32">
      <c r="A32" t="inlineStr">
        <is>
          <t xml:space="preserve">  ROOM TONE              81%  5.5b</t>
        </is>
      </c>
    </row>
    <row r="33">
      <c r="A33" t="inlineStr">
        <is>
          <t xml:space="preserve">  THE CUE                87%  5.3b</t>
        </is>
      </c>
    </row>
    <row r="34">
      <c r="A34" t="inlineStr">
        <is>
          <t xml:space="preserve">  THE DAMPER             68%  5.5b</t>
        </is>
      </c>
    </row>
    <row r="35">
      <c r="A35" t="inlineStr">
        <is>
          <t xml:space="preserve">  STUTTER                85%  5.2b</t>
        </is>
      </c>
    </row>
    <row r="36">
      <c r="A36" t="inlineStr">
        <is>
          <t xml:space="preserve">  THE ROUND              68%  6.2b</t>
        </is>
      </c>
    </row>
    <row r="37"/>
    <row r="38">
      <c r="A38" t="inlineStr">
        <is>
          <t>RUNS (3 floors, life carried over, no motifs) : WIN PERCENT  /  LOST ON FLOOR 1, 2, 3</t>
        </is>
      </c>
    </row>
    <row r="39">
      <c r="A39" t="inlineStr">
        <is>
          <t xml:space="preserve">  NORMAL</t>
        </is>
      </c>
    </row>
    <row r="40">
      <c r="A40" t="inlineStr">
        <is>
          <t xml:space="preserve">    FLAWLESS 100%    0% / 0% / 0%</t>
        </is>
      </c>
    </row>
    <row r="41">
      <c r="A41" t="inlineStr">
        <is>
          <t xml:space="preserve">    EXPERT   100%    0% / 0% / 0%</t>
        </is>
      </c>
    </row>
    <row r="42">
      <c r="A42" t="inlineStr">
        <is>
          <t xml:space="preserve">    STRONG    50%    0% / 10% / 38%</t>
        </is>
      </c>
    </row>
    <row r="43">
      <c r="A43" t="inlineStr">
        <is>
          <t xml:space="preserve">    AVERAGE    0%    30% / 68% / 0%</t>
        </is>
      </c>
    </row>
    <row r="44">
      <c r="A44" t="inlineStr">
        <is>
          <t xml:space="preserve">    NEWCOMER   0%    80% / 19% / 0%</t>
        </is>
      </c>
    </row>
    <row r="45">
      <c r="A45" t="inlineStr">
        <is>
          <t xml:space="preserve">  MAESTRO</t>
        </is>
      </c>
    </row>
    <row r="46">
      <c r="A46" t="inlineStr">
        <is>
          <t xml:space="preserve">    FLAWLESS 100%    0% / 0% / 0%</t>
        </is>
      </c>
    </row>
    <row r="47">
      <c r="A47" t="inlineStr">
        <is>
          <t xml:space="preserve">    EXPERT    79%    0% / 3% / 17%</t>
        </is>
      </c>
    </row>
    <row r="48">
      <c r="A48" t="inlineStr">
        <is>
          <t xml:space="preserve">    STRONG     0%    15% / 72% / 12%</t>
        </is>
      </c>
    </row>
    <row r="49">
      <c r="A49" t="inlineStr">
        <is>
          <t xml:space="preserve">    AVERAGE    0%    94% / 5% / 0%</t>
        </is>
      </c>
    </row>
    <row r="50">
      <c r="A50" t="inlineStr">
        <is>
          <t xml:space="preserve">    NEWCOMER   0%    100% / 0% / 0%</t>
        </is>
      </c>
    </row>
    <row r="51"/>
    <row r="52">
      <c r="A52" t="inlineStr">
        <is>
          <t>CONDUCTORS (runs as above, NORMAL) : WIN PERCENT  STRONG / AVERAGE</t>
        </is>
      </c>
    </row>
    <row r="53">
      <c r="A53" t="inlineStr">
        <is>
          <t xml:space="preserve">  THE UNHEARING       58% / 0%</t>
        </is>
      </c>
    </row>
    <row r="54">
      <c r="A54" t="inlineStr">
        <is>
          <t xml:space="preserve">  THE SHADOWLESS      51% / 0%</t>
        </is>
      </c>
    </row>
    <row r="55">
      <c r="A55" t="inlineStr">
        <is>
          <t xml:space="preserve">  THE METRONOME       51% / 0%</t>
        </is>
      </c>
    </row>
    <row r="56">
      <c r="A56" t="inlineStr">
        <is>
          <t xml:space="preserve">  THE HEARTLESS       65% / 0%</t>
        </is>
      </c>
    </row>
    <row r="57">
      <c r="A57" t="inlineStr">
        <is>
          <t xml:space="preserve">  THE KING'S BATON    63% / 0%</t>
        </is>
      </c>
    </row>
    <row r="58">
      <c r="A58" t="inlineStr">
        <is>
          <t xml:space="preserve">  THE UNSIGNED        50% / 0%</t>
        </is>
      </c>
    </row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2026-10-09T07:14:03Z</dcterms:created>
  <dcterms:modified xmlns:dcterms="http://purl.org/dc/terms/" xmlns:xsi="http://www.w3.org/2001/XMLSchema-instance" xsi:type="dcterms:W3CDTF">2026-10-24T16:08:00Z</dcterms:modified>
  <cp:revision>0</cp:revision>
</cp:coreProperties>
</file>