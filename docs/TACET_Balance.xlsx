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 States" sheetId="1" state="visible" r:id="rId3"/>
    <sheet name="Entity Tuning" sheetId="2" state="visible" r:id="rId4"/>
    <sheet name="Skill Damage" sheetId="3" state="visible" r:id="rId5"/>
    <sheet name="Difficulty Curve" sheetId="4" state="visible" r:id="rId6"/>
    <sheet name="Economy" sheetId="5" state="visible" r:id="rId7"/>
    <sheet name="Sim Results" sheetId="6" state="visible" r:id="rId8"/>
    <sheet name="Abou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<sst xmlns="http://schemas.openxmlformats.org/spreadsheetml/2006/main" count="860" uniqueCount="656">
  <si>
    <t xml:space="preserve">Parameter</t>
  </si>
  <si>
    <t xml:space="preserve">Value</t>
  </si>
  <si>
    <t xml:space="preserve">Code (BattleRules / file)</t>
  </si>
  <si>
    <t xml:space="preserve">Notes</t>
  </si>
  <si>
    <t xml:space="preserve">Floors per Run</t>
  </si>
  <si>
    <t xml:space="preserve">FloorsPerRun</t>
  </si>
  <si>
    <t xml:space="preserve">ชนะบอสชั้น 3 = ชนะทั้งรัน</t>
  </si>
  <si>
    <t xml:space="preserve">Stages per Floor (min)</t>
  </si>
  <si>
    <t xml:space="preserve">RunState.StagesThisFloor</t>
  </si>
  <si>
    <t xml:space="preserve">สุ่ม 7–10 ด่านต่อชั้น ด่านสุดท้ายคือบอส</t>
  </si>
  <si>
    <t xml:space="preserve">Stages per Floor (max)</t>
  </si>
  <si>
    <t xml:space="preserve">Rounds per Duel</t>
  </si>
  <si>
    <t xml:space="preserve">MaxRounds</t>
  </si>
  <si>
    <t xml:space="preserve">ครบ 3 รอบ ฝ่ายที่ดันเส้นนำอยู่ชนะ</t>
  </si>
  <si>
    <t xml:space="preserve">Beats per Phrase</t>
  </si>
  <si>
    <t xml:space="preserve">BeatsPerRound</t>
  </si>
  <si>
    <t xml:space="preserve">TACET เล่นท่อนละ 8 บีต (ท่า 4/4 สองห้อง)</t>
  </si>
  <si>
    <t xml:space="preserve">Passes in Round 1</t>
  </si>
  <si>
    <t xml:space="preserve">PassesPerRound[0]</t>
  </si>
  <si>
    <t xml:space="preserve">REPEATS : รอบ 1 เล่นท่อน 1 ครั้ง</t>
  </si>
  <si>
    <t xml:space="preserve">Passes in Round 2</t>
  </si>
  <si>
    <t xml:space="preserve">PassesPerRound[1]</t>
  </si>
  <si>
    <t xml:space="preserve">รอบ 2 เล่นต่อกัน 2 ครั้ง</t>
  </si>
  <si>
    <t xml:space="preserve">Passes in Round 3</t>
  </si>
  <si>
    <t xml:space="preserve">PassesPerRound[2]</t>
  </si>
  <si>
    <t xml:space="preserve">รอบ 3 เล่นต่อกัน 3 ครั้ง</t>
  </si>
  <si>
    <t xml:space="preserve">Beats in a Full Duel</t>
  </si>
  <si>
    <t xml:space="preserve">(คำนวณ)</t>
  </si>
  <si>
    <t xml:space="preserve">บีตต่อท่อน × (1 + 2 + 3) ถ้าไม่มีใครชนะก่อน</t>
  </si>
  <si>
    <t xml:space="preserve">Line to Win (push)</t>
  </si>
  <si>
    <t xml:space="preserve">LineLimit</t>
  </si>
  <si>
    <t xml:space="preserve">ดันเส้นถึง +100 ชนะทันที · ถูกดันถึง −100 แพ้</t>
  </si>
  <si>
    <t xml:space="preserve">Seats on Stage at Start</t>
  </si>
  <si>
    <t xml:space="preserve">RunState.Seats</t>
  </si>
  <si>
    <t xml:space="preserve">ซื้อเพิ่มที่ร้านได้ (สูงสุด 9 ที่)</t>
  </si>
  <si>
    <t xml:space="preserve">Bench Size</t>
  </si>
  <si>
    <t xml:space="preserve">BenchSize</t>
  </si>
  <si>
    <t xml:space="preserve">นักดนตรีที่นั่งพักได้ (ไม่ขึ้นเวที)</t>
  </si>
  <si>
    <t xml:space="preserve">Recruits at First Floor</t>
  </si>
  <si>
    <t xml:space="preserve">FirstFloorRecruits</t>
  </si>
  <si>
    <t xml:space="preserve">คนที่ได้ตอนเปิดชั้น 1</t>
  </si>
  <si>
    <t xml:space="preserve">Recruits at Later Floors</t>
  </si>
  <si>
    <t xml:space="preserve">LaterFloorRecruits</t>
  </si>
  <si>
    <t xml:space="preserve">Breath Back After a Win</t>
  </si>
  <si>
    <t xml:space="preserve">RecoverAfterWin</t>
  </si>
  <si>
    <t xml:space="preserve">ได้ลมคืน 30% ของลมสูงสุด</t>
  </si>
  <si>
    <t xml:space="preserve">Signature Length (strokes)</t>
  </si>
  <si>
    <t xml:space="preserve">SignatureStrokes</t>
  </si>
  <si>
    <t xml:space="preserve">SIGNATURE (Space) ทำงาน 4 ตวัด</t>
  </si>
  <si>
    <t xml:space="preserve">Round Banner (seconds)</t>
  </si>
  <si>
    <t xml:space="preserve">IntroTime</t>
  </si>
  <si>
    <t xml:space="preserve">ป้าย ROUND ตอนเริ่มรอบ</t>
  </si>
  <si>
    <t xml:space="preserve">Round Change Note (seconds)</t>
  </si>
  <si>
    <t xml:space="preserve">IntroNoteTime</t>
  </si>
  <si>
    <t xml:space="preserve">ป้ายบอกสิ่งที่เปลี่ยนในรอบนี้</t>
  </si>
  <si>
    <t xml:space="preserve">First Trait Card (seconds)</t>
  </si>
  <si>
    <t xml:space="preserve">TraitIntroTime</t>
  </si>
  <si>
    <t xml:space="preserve">การ์ดอธิบายกลไกศัตรูครั้งแรก</t>
  </si>
  <si>
    <t xml:space="preserve">Teach Note (seconds)</t>
  </si>
  <si>
    <t xml:space="preserve">TeachNoteTime</t>
  </si>
  <si>
    <t xml:space="preserve">ป้ายสอนของใหม่ครั้งแรกในรันจริง</t>
  </si>
  <si>
    <t xml:space="preserve">Round End (seconds)</t>
  </si>
  <si>
    <t xml:space="preserve">RoundEndTime</t>
  </si>
  <si>
    <t xml:space="preserve">Signature Cut-in (seconds)</t>
  </si>
  <si>
    <t xml:space="preserve">CutInTime</t>
  </si>
  <si>
    <t xml:space="preserve">ภาพ cut-in ตอนกด SIGNATURE (นาฬิกาจังหวะหยุด)</t>
  </si>
  <si>
    <t xml:space="preserve">Entity Tuning  —  TACET 4'33</t>
  </si>
  <si>
    <t xml:space="preserve">Player Setting (Conductor Base)</t>
  </si>
  <si>
    <t xml:space="preserve">Code</t>
  </si>
  <si>
    <t xml:space="preserve">Breath Base</t>
  </si>
  <si>
    <t xml:space="preserve">StaminaBase</t>
  </si>
  <si>
    <t xml:space="preserve">ลม (เลือดของวง) = ฐาน + 8 × ค่า BREATH บนการ์ด</t>
  </si>
  <si>
    <t xml:space="preserve">Breath per Stat Point</t>
  </si>
  <si>
    <t xml:space="preserve">StaminaPerPoint</t>
  </si>
  <si>
    <t xml:space="preserve">Power Base</t>
  </si>
  <si>
    <t xml:space="preserve">PowerBase</t>
  </si>
  <si>
    <t xml:space="preserve">ตัวคูณแรงทั้งวง = ฐาน + 0.04 × ค่า PUSH</t>
  </si>
  <si>
    <t xml:space="preserve">Power per Stat Point</t>
  </si>
  <si>
    <t xml:space="preserve">PowerPerPoint</t>
  </si>
  <si>
    <t xml:space="preserve">Conductors (ผู้เล่นเลือก 1 คน)</t>
  </si>
  <si>
    <t xml:space="preserve"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</si>
  <si>
    <t xml:space="preserve">Conductor</t>
  </si>
  <si>
    <t xml:space="preserve">Role</t>
  </si>
  <si>
    <t xml:space="preserve">Based On</t>
  </si>
  <si>
    <t xml:space="preserve">Breath Stat</t>
  </si>
  <si>
    <t xml:space="preserve">Push Stat</t>
  </si>
  <si>
    <t xml:space="preserve">Max Breath</t>
  </si>
  <si>
    <t xml:space="preserve">Power ×</t>
  </si>
  <si>
    <t xml:space="preserve">Recipe STR</t>
  </si>
  <si>
    <t xml:space="preserve">Recipe WND</t>
  </si>
  <si>
    <t xml:space="preserve">Recipe PRC</t>
  </si>
  <si>
    <t xml:space="preserve">Passive</t>
  </si>
  <si>
    <t xml:space="preserve">Signature</t>
  </si>
  <si>
    <t xml:space="preserve">THE APPRENTICE</t>
  </si>
  <si>
    <t xml:space="preserve">BALANCED</t>
  </si>
  <si>
    <t xml:space="preserve">ORIGINAL CHARACTER</t>
  </si>
  <si>
    <t xml:space="preserve">BY THE BOOK</t>
  </si>
  <si>
    <t xml:space="preserve">ABSOLUTE PITCH</t>
  </si>
  <si>
    <t xml:space="preserve">THE METRONOME</t>
  </si>
  <si>
    <t xml:space="preserve">ENDURANCE</t>
  </si>
  <si>
    <t xml:space="preserve">J. S. BACH</t>
  </si>
  <si>
    <t xml:space="preserve">LOCKED TEMPO</t>
  </si>
  <si>
    <t xml:space="preserve">CLOCKWORK</t>
  </si>
  <si>
    <t xml:space="preserve">THE INFERNO</t>
  </si>
  <si>
    <t xml:space="preserve">BURST</t>
  </si>
  <si>
    <t xml:space="preserve">HECTOR BERLIOZ</t>
  </si>
  <si>
    <t xml:space="preserve">RUNAWAY FIRE</t>
  </si>
  <si>
    <t xml:space="preserve">SET ALIGHT</t>
  </si>
  <si>
    <t xml:space="preserve">THE UNHEARING</t>
  </si>
  <si>
    <t xml:space="preserve">SCALING</t>
  </si>
  <si>
    <t xml:space="preserve">L. V. BEETHOVEN</t>
  </si>
  <si>
    <t xml:space="preserve">THE CLOSER THE LOUDER</t>
  </si>
  <si>
    <t xml:space="preserve">DEAF EARS</t>
  </si>
  <si>
    <t xml:space="preserve">THE FOLK LEADER</t>
  </si>
  <si>
    <t xml:space="preserve">SUPPORT</t>
  </si>
  <si>
    <t xml:space="preserve">BELA BARTOK</t>
  </si>
  <si>
    <t xml:space="preserve">EVERY ROAD HOME</t>
  </si>
  <si>
    <t xml:space="preserve">VILLAGE BAND</t>
  </si>
  <si>
    <t xml:space="preserve">Band (Musicians)</t>
  </si>
  <si>
    <t xml:space="preserve"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</si>
  <si>
    <t xml:space="preserve">Musician</t>
  </si>
  <si>
    <t xml:space="preserve">Instrument</t>
  </si>
  <si>
    <t xml:space="preserve">Family</t>
  </si>
  <si>
    <t xml:space="preserve">Era</t>
  </si>
  <si>
    <t xml:space="preserve">Side (CUE)</t>
  </si>
  <si>
    <t xml:space="preserve">Power</t>
  </si>
  <si>
    <t xml:space="preserve">Culture</t>
  </si>
  <si>
    <t xml:space="preserve">Trait</t>
  </si>
  <si>
    <t xml:space="preserve">ANNA</t>
  </si>
  <si>
    <t xml:space="preserve">VIOLIN</t>
  </si>
  <si>
    <t xml:space="preserve">STRINGS</t>
  </si>
  <si>
    <t xml:space="preserve">CLASSICAL</t>
  </si>
  <si>
    <t xml:space="preserve">LEFT</t>
  </si>
  <si>
    <t xml:space="preserve">EUROPEAN</t>
  </si>
  <si>
    <t xml:space="preserve">COUNTS ALOUD</t>
  </si>
  <si>
    <t xml:space="preserve">KLARA</t>
  </si>
  <si>
    <t xml:space="preserve">FLUTE</t>
  </si>
  <si>
    <t xml:space="preserve">WINDS</t>
  </si>
  <si>
    <t xml:space="preserve">CENTRE</t>
  </si>
  <si>
    <t xml:space="preserve">THE QUIET PART</t>
  </si>
  <si>
    <t xml:space="preserve">OTTO</t>
  </si>
  <si>
    <t xml:space="preserve">TIMPANI</t>
  </si>
  <si>
    <t xml:space="preserve">PERCUSSION</t>
  </si>
  <si>
    <t xml:space="preserve">RIGHT</t>
  </si>
  <si>
    <t xml:space="preserve">MOMENTUM</t>
  </si>
  <si>
    <t xml:space="preserve">MALI</t>
  </si>
  <si>
    <t xml:space="preserve">SO DUANG</t>
  </si>
  <si>
    <t xml:space="preserve">SIAM</t>
  </si>
  <si>
    <t xml:space="preserve">BY EAR</t>
  </si>
  <si>
    <t xml:space="preserve">CHAI</t>
  </si>
  <si>
    <t xml:space="preserve">PI NAI</t>
  </si>
  <si>
    <t xml:space="preserve">HELD NOTE</t>
  </si>
  <si>
    <t xml:space="preserve">NUAN</t>
  </si>
  <si>
    <t xml:space="preserve">RANAT EK</t>
  </si>
  <si>
    <t xml:space="preserve">ONE STEP BETTER</t>
  </si>
  <si>
    <t xml:space="preserve">LUKA</t>
  </si>
  <si>
    <t xml:space="preserve">CELLO</t>
  </si>
  <si>
    <t xml:space="preserve">ROMANTIC</t>
  </si>
  <si>
    <t xml:space="preserve">FOUR BARS STRAIGHT</t>
  </si>
  <si>
    <t xml:space="preserve">IRIS</t>
  </si>
  <si>
    <t xml:space="preserve">HORN</t>
  </si>
  <si>
    <t xml:space="preserve">FASHIONABLY LATE</t>
  </si>
  <si>
    <t xml:space="preserve">BORIS</t>
  </si>
  <si>
    <t xml:space="preserve">BASS DRUM</t>
  </si>
  <si>
    <t xml:space="preserve">THE WHOLE FLOOR</t>
  </si>
  <si>
    <t xml:space="preserve">Average Power (9 คน)</t>
  </si>
  <si>
    <t xml:space="preserve">Enemy Scaling</t>
  </si>
  <si>
    <t xml:space="preserve">แรงโน้ตของศัตรู = แรงฐานต่อโน้ต × แรงตามชั้น × ตัวคูณชนิดศัตรู (BattleState) · โน้ต f ×2 · โน้ต p ×0.5 (แท็บ Skill Damage)</t>
  </si>
  <si>
    <t xml:space="preserve">Normal Enemy Scale</t>
  </si>
  <si>
    <t xml:space="preserve">NormalScale</t>
  </si>
  <si>
    <t xml:space="preserve">ศัตรูข้างทาง</t>
  </si>
  <si>
    <t xml:space="preserve">Elite Enemy Scale</t>
  </si>
  <si>
    <t xml:space="preserve">EliteScale</t>
  </si>
  <si>
    <t xml:space="preserve">Boss Enemy Scale</t>
  </si>
  <si>
    <t xml:space="preserve">BossScale</t>
  </si>
  <si>
    <t xml:space="preserve">Floor Power</t>
  </si>
  <si>
    <t xml:space="preserve">Floor 1</t>
  </si>
  <si>
    <t xml:space="preserve">Floor 2</t>
  </si>
  <si>
    <t xml:space="preserve">Floor 3</t>
  </si>
  <si>
    <t xml:space="preserve">NORMAL</t>
  </si>
  <si>
    <t xml:space="preserve">MAESTRO</t>
  </si>
  <si>
    <t xml:space="preserve">Enemy Settings</t>
  </si>
  <si>
    <t xml:space="preserve"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</si>
  <si>
    <t xml:space="preserve">Enemy</t>
  </si>
  <si>
    <t xml:space="preserve">Kind</t>
  </si>
  <si>
    <t xml:space="preserve">Song</t>
  </si>
  <si>
    <t xml:space="preserve">Base Note</t>
  </si>
  <si>
    <t xml:space="preserve">Kind Scale</t>
  </si>
  <si>
    <t xml:space="preserve">NORMAL F1</t>
  </si>
  <si>
    <t xml:space="preserve">NORMAL F2</t>
  </si>
  <si>
    <t xml:space="preserve">NORMAL F3</t>
  </si>
  <si>
    <t xml:space="preserve">MAESTRO F1</t>
  </si>
  <si>
    <t xml:space="preserve">MAESTRO F2</t>
  </si>
  <si>
    <t xml:space="preserve">MAESTRO F3</t>
  </si>
  <si>
    <t xml:space="preserve">Line Weight</t>
  </si>
  <si>
    <t xml:space="preserve">Push to Win</t>
  </si>
  <si>
    <t xml:space="preserve">Trait (from floor)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</si>
  <si>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</si>
  <si>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</si>
  <si>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</si>
  <si>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</si>
  <si>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</si>
  <si>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</si>
  <si>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</si>
  <si>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</si>
  <si>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HUSH</t>
  </si>
  <si>
    <t xml:space="preserve">Normal</t>
  </si>
  <si>
    <t xml:space="preserve">AH, VOUS DIRAI-JE, MAMAN</t>
  </si>
  <si>
    <t xml:space="preserve">ECHO FADES (2)</t>
  </si>
  <si>
    <t xml:space="preserve">DEAD AIR</t>
  </si>
  <si>
    <t xml:space="preserve">ODE TO JOY</t>
  </si>
  <si>
    <t xml:space="preserve">FILLS THE GAPS (2)</t>
  </si>
  <si>
    <t xml:space="preserve">THE LULL</t>
  </si>
  <si>
    <t xml:space="preserve">AU CLAIR DE LA LUNE</t>
  </si>
  <si>
    <t xml:space="preserve">LULLABY (2)</t>
  </si>
  <si>
    <t xml:space="preserve">STATIC</t>
  </si>
  <si>
    <t xml:space="preserve">FALSE NOTES (2)</t>
  </si>
  <si>
    <t xml:space="preserve">THE MUTE CHOIR</t>
  </si>
  <si>
    <t xml:space="preserve">Elite</t>
  </si>
  <si>
    <t xml:space="preserve">SYMPHONY NO. 5</t>
  </si>
  <si>
    <t xml:space="preserve">SILENT MOUTHS (1)</t>
  </si>
  <si>
    <t xml:space="preserve">WHITE NOISE</t>
  </si>
  <si>
    <t xml:space="preserve">PRELUDE IN C</t>
  </si>
  <si>
    <t xml:space="preserve">NO REST (1)</t>
  </si>
  <si>
    <t xml:space="preserve">REQUIEM</t>
  </si>
  <si>
    <t xml:space="preserve">Boss</t>
  </si>
  <si>
    <t xml:space="preserve">RONDO ALLA TURCA</t>
  </si>
  <si>
    <t xml:space="preserve">UNFINISHED (1)</t>
  </si>
  <si>
    <t xml:space="preserve">THE NAMELESS MASTER</t>
  </si>
  <si>
    <t xml:space="preserve">EINE KLEINE NACHTMUSIK</t>
  </si>
  <si>
    <t xml:space="preserve">ANSWER BETTER (1)</t>
  </si>
  <si>
    <t xml:space="preserve">THE DEVIL'S STRING</t>
  </si>
  <si>
    <t xml:space="preserve">(no song yet)</t>
  </si>
  <si>
    <t xml:space="preserve">THE BARGAIN (1)</t>
  </si>
  <si>
    <t xml:space="preserve">Line Setting (Base Setting)</t>
  </si>
  <si>
    <t xml:space="preserve">เส้นดันระหว่างวงกับ TACET = "เลือดฐาน" ของการดวล</t>
  </si>
  <si>
    <t xml:space="preserve">Line Limit</t>
  </si>
  <si>
    <t xml:space="preserve">ดันถึง +100 ชนะทันที</t>
  </si>
  <si>
    <t xml:space="preserve">Push per Power</t>
  </si>
  <si>
    <t xml:space="preserve">PushPerPower</t>
  </si>
  <si>
    <t xml:space="preserve">ส่วนต่างพลัง 1 แต้มดันเส้น 1</t>
  </si>
  <si>
    <t xml:space="preserve">Push Cap (per note)</t>
  </si>
  <si>
    <t xml:space="preserve">PushCap</t>
  </si>
  <si>
    <t xml:space="preserve">โน้ตเดียวดันได้ไม่เกิน 8 ทั้งสองฝ่าย</t>
  </si>
  <si>
    <t xml:space="preserve">Elite Line Weight</t>
  </si>
  <si>
    <t xml:space="preserve">EliteLine</t>
  </si>
  <si>
    <t xml:space="preserve">HEAVY LINE : ดวล Elite ดันได้ 70%</t>
  </si>
  <si>
    <t xml:space="preserve">Boss Line Weight</t>
  </si>
  <si>
    <t xml:space="preserve">BossLine</t>
  </si>
  <si>
    <t xml:space="preserve">ดวลบอสดันได้ 60%</t>
  </si>
  <si>
    <t xml:space="preserve">Finale Offered From</t>
  </si>
  <si>
    <t xml:space="preserve">FinaleLine</t>
  </si>
  <si>
    <t xml:space="preserve">เส้น ≥ +80 ตอนจบรอบ เปิด FINALE</t>
  </si>
  <si>
    <t xml:space="preserve">Finale Fail Push Back</t>
  </si>
  <si>
    <t xml:space="preserve">FinaleFailPush</t>
  </si>
  <si>
    <t xml:space="preserve">FINALE พลาด TACET ดันกลับ 12</t>
  </si>
  <si>
    <t xml:space="preserve">Combat Accuracy</t>
  </si>
  <si>
    <t xml:space="preserve">PERFECT Window (± ms)</t>
  </si>
  <si>
    <t xml:space="preserve">PerfectWindow / Maestro…</t>
  </si>
  <si>
    <t xml:space="preserve">ห่างจากบีตไม่เกินนี้ = PERFECT</t>
  </si>
  <si>
    <t xml:space="preserve">GOOD Window (± ms)</t>
  </si>
  <si>
    <t xml:space="preserve">GoodWindow / Maestro…</t>
  </si>
  <si>
    <t xml:space="preserve">Early Stroke Ignored (ms before)</t>
  </si>
  <si>
    <t xml:space="preserve">EarlyTime</t>
  </si>
  <si>
    <t xml:space="preserve">ตวัดเสร็จก่อนบีตเกินนี้ = มือกำลังเตรียม ไม่นับ</t>
  </si>
  <si>
    <t xml:space="preserve">Latest Stroke (ms after)</t>
  </si>
  <si>
    <t xml:space="preserve">LateTime</t>
  </si>
  <si>
    <t xml:space="preserve">PERFECT Power</t>
  </si>
  <si>
    <t xml:space="preserve">PerfectBonus</t>
  </si>
  <si>
    <t xml:space="preserve">PERFECT คูณแรงทั้งวง</t>
  </si>
  <si>
    <t xml:space="preserve">MISS Power</t>
  </si>
  <si>
    <t xml:space="preserve">MissPower</t>
  </si>
  <si>
    <t xml:space="preserve">ตวัดพลาดยังนับ แต่เบาลง</t>
  </si>
  <si>
    <t xml:space="preserve">MISS Breath Cost</t>
  </si>
  <si>
    <t xml:space="preserve">MissBreath</t>
  </si>
  <si>
    <t xml:space="preserve">MISS เสียลมเพิ่ม</t>
  </si>
  <si>
    <t xml:space="preserve">Wrong Size Power</t>
  </si>
  <si>
    <t xml:space="preserve">WrongSizePower / Maestro…</t>
  </si>
  <si>
    <t xml:space="preserve">ตวัดผิดขนาดจากตัวอักษรบนโน้ต (TOO BIG / TOO SMALL)</t>
  </si>
  <si>
    <t xml:space="preserve">Stroke : shortest (px)</t>
  </si>
  <si>
    <t xml:space="preserve">GestureReader.MinLength</t>
  </si>
  <si>
    <t xml:space="preserve">สั้นกว่านี้ = มือสั่น ไม่นับ</t>
  </si>
  <si>
    <t xml:space="preserve">Stroke : middle (mf) from (px)</t>
  </si>
  <si>
    <t xml:space="preserve">GestureReader.MiddleLength</t>
  </si>
  <si>
    <t xml:space="preserve">สั้นกว่า = เล็ก (p)</t>
  </si>
  <si>
    <t xml:space="preserve">Stroke : big (f) from (px)</t>
  </si>
  <si>
    <t xml:space="preserve">GestureReader.BigLength</t>
  </si>
  <si>
    <t xml:space="preserve">Stroke : longest time (s)</t>
  </si>
  <si>
    <t xml:space="preserve">GestureReader.MaxTime</t>
  </si>
  <si>
    <t xml:space="preserve">Duel Multipliers</t>
  </si>
  <si>
    <t xml:space="preserve">Applies To</t>
  </si>
  <si>
    <t xml:space="preserve">CUE (arrow matches baton)</t>
  </si>
  <si>
    <t xml:space="preserve">BAND</t>
  </si>
  <si>
    <t xml:space="preserve">CuePower</t>
  </si>
  <si>
    <t xml:space="preserve">คนที่ลูกศรตรงทิศที่ไม้ตวัด แรง ×1.5</t>
  </si>
  <si>
    <t xml:space="preserve">Harmony per Extra Player</t>
  </si>
  <si>
    <t xml:space="preserve">HarmonyPerExtra</t>
  </si>
  <si>
    <t xml:space="preserve">เล่นพร้อมกันหลายคน แรงขึ้นคนละ 15%</t>
  </si>
  <si>
    <t xml:space="preserve">Harmony Counts Up To (players)</t>
  </si>
  <si>
    <t xml:space="preserve">HarmonyMost</t>
  </si>
  <si>
    <t xml:space="preserve">คนที่ 6 ขึ้นไปเพิ่มพลังแต่ไม่เพิ่มฮาร์โมนี</t>
  </si>
  <si>
    <t xml:space="preserve">SECTION : 2 of a family</t>
  </si>
  <si>
    <t xml:space="preserve">SectionTwo</t>
  </si>
  <si>
    <t xml:space="preserve">เครื่องกลุ่มเดียวกันบนเวที 2 คน</t>
  </si>
  <si>
    <t xml:space="preserve">SECTION : all 3 of a family</t>
  </si>
  <si>
    <t xml:space="preserve">SectionThree</t>
  </si>
  <si>
    <t xml:space="preserve">COMBO per PERFECT</t>
  </si>
  <si>
    <t xml:space="preserve">ComboStep</t>
  </si>
  <si>
    <t xml:space="preserve">PERFECT ติดกัน +6% ต่อครั้ง</t>
  </si>
  <si>
    <t xml:space="preserve">COMBO Max Steps</t>
  </si>
  <si>
    <t xml:space="preserve">ComboMax</t>
  </si>
  <si>
    <t xml:space="preserve">สูงสุด +30%</t>
  </si>
  <si>
    <t xml:space="preserve">FORTISSIMO after combo</t>
  </si>
  <si>
    <t xml:space="preserve">FortissimoCombo</t>
  </si>
  <si>
    <t xml:space="preserve">FORTISSIMO lasts (beats)</t>
  </si>
  <si>
    <t xml:space="preserve">FortissimoBeats</t>
  </si>
  <si>
    <t xml:space="preserve">FORTISSIMO power</t>
  </si>
  <si>
    <t xml:space="preserve">FortissimoPower</t>
  </si>
  <si>
    <t xml:space="preserve">IN TUNE : TACET keeps</t>
  </si>
  <si>
    <t xml:space="preserve">TACET</t>
  </si>
  <si>
    <t xml:space="preserve">InTuneKeep</t>
  </si>
  <si>
    <t xml:space="preserve">ตรงเวลา + ขนาดตรงตัวอักษรจริง</t>
  </si>
  <si>
    <t xml:space="preserve">COUNTER : TACET keeps</t>
  </si>
  <si>
    <t xml:space="preserve">CounterKeep</t>
  </si>
  <si>
    <t xml:space="preserve">PERFECT ตวัดใหญ่ใส่โน้ต f จริง</t>
  </si>
  <si>
    <t xml:space="preserve">TACET f note</t>
  </si>
  <si>
    <t xml:space="preserve">EnemyBoostPower</t>
  </si>
  <si>
    <t xml:space="preserve">โน้ต f ของ TACET แรง ×2</t>
  </si>
  <si>
    <t xml:space="preserve">TACET p note</t>
  </si>
  <si>
    <t xml:space="preserve">EnemyEasePower</t>
  </si>
  <si>
    <t xml:space="preserve">โน้ต p แรง ×0.5</t>
  </si>
  <si>
    <t xml:space="preserve">TACET'S BLOW (breath per point)</t>
  </si>
  <si>
    <t xml:space="preserve">BREATH</t>
  </si>
  <si>
    <t xml:space="preserve">BlowPerPower</t>
  </si>
  <si>
    <t xml:space="preserve">บีตที่ TACET ชนะ วงเสียลม 0.95 ต่อแต้มที่แพ้</t>
  </si>
  <si>
    <t xml:space="preserve">Rest : breath back</t>
  </si>
  <si>
    <t xml:space="preserve">RestRecover</t>
  </si>
  <si>
    <t xml:space="preserve">บีตเงียบ ไม่ตวัดหรือตวัดเล็ก = พัก</t>
  </si>
  <si>
    <t xml:space="preserve">Special Notes (TREMOLO · FERMATA · SPARK · FINALE)</t>
  </si>
  <si>
    <t xml:space="preserve">TREMOLO length (beats)</t>
  </si>
  <si>
    <t xml:space="preserve">TremoloBeats</t>
  </si>
  <si>
    <t xml:space="preserve">Elite/บอสจบทุกรอบด้วยโน้ตรัว</t>
  </si>
  <si>
    <t xml:space="preserve">TREMOLO : TACET power</t>
  </si>
  <si>
    <t xml:space="preserve">TremoloEnemy</t>
  </si>
  <si>
    <t xml:space="preserve">TREMOLO : base share (no shakes)</t>
  </si>
  <si>
    <t xml:space="preserve">TremoloBase</t>
  </si>
  <si>
    <t xml:space="preserve">TREMOLO : per shake</t>
  </si>
  <si>
    <t xml:space="preserve">TremoloStep</t>
  </si>
  <si>
    <t xml:space="preserve">TREMOLO : shakes counted (max)</t>
  </si>
  <si>
    <t xml:space="preserve">TremoloMost</t>
  </si>
  <si>
    <t xml:space="preserve">TREMOLO : shakes for PERFECT</t>
  </si>
  <si>
    <t xml:space="preserve">TremoloPerfect / Maestro…</t>
  </si>
  <si>
    <t xml:space="preserve">TREMOLO : shakes for GOOD</t>
  </si>
  <si>
    <t xml:space="preserve">TremoloGood / Maestro…</t>
  </si>
  <si>
    <t xml:space="preserve">FERMATA length (beats)</t>
  </si>
  <si>
    <t xml:space="preserve">FermataBeats</t>
  </si>
  <si>
    <t xml:space="preserve">ศัตรูธรรมดาจบรอบด้วยโน้ตค้าง (ชั้น 2+)</t>
  </si>
  <si>
    <t xml:space="preserve">FERMATA : TACET power</t>
  </si>
  <si>
    <t xml:space="preserve">FermataEnemy</t>
  </si>
  <si>
    <t xml:space="preserve">FERMATA : let go at once</t>
  </si>
  <si>
    <t xml:space="preserve">FermataBase</t>
  </si>
  <si>
    <t xml:space="preserve">FERMATA : added over the hold</t>
  </si>
  <si>
    <t xml:space="preserve">FermataHold</t>
  </si>
  <si>
    <t xml:space="preserve">ค้างจนจบ = ×1.4</t>
  </si>
  <si>
    <t xml:space="preserve">FERMATA : still speed (px/s)</t>
  </si>
  <si>
    <t xml:space="preserve">FermataStill</t>
  </si>
  <si>
    <t xml:space="preserve">ไม้ขยับไม่เกินนี้ถือว่านิ่ง</t>
  </si>
  <si>
    <t xml:space="preserve">SPARK pairs in round 1 / 2 / 3</t>
  </si>
  <si>
    <t xml:space="preserve">2 / 3 / 4</t>
  </si>
  <si>
    <t xml:space="preserve">DoubleNotes</t>
  </si>
  <si>
    <t xml:space="preserve">โน้ตคู่</t>
  </si>
  <si>
    <t xml:space="preserve">SPARK : share of its beat</t>
  </si>
  <si>
    <t xml:space="preserve">GraceShare</t>
  </si>
  <si>
    <t xml:space="preserve">FINALE : extra shards</t>
  </si>
  <si>
    <t xml:space="preserve">FinaleShards</t>
  </si>
  <si>
    <t xml:space="preserve">จบด้วย FINALE ได้ shards เพิ่ม</t>
  </si>
  <si>
    <t xml:space="preserve">Conductor Skill Matrix (PASSIVE + SIGNATURE)</t>
  </si>
  <si>
    <t xml:space="preserve">SIGNATURE ทำงาน 4 ตวัด หลังเก็บโน้ตครบตาม Recipe (แท็บ Entity Tuning) แล้วกด Space</t>
  </si>
  <si>
    <t xml:space="preserve">Skill</t>
  </si>
  <si>
    <t xml:space="preserve">Notes / Mechanics</t>
  </si>
  <si>
    <t xml:space="preserve">BY THE BOOK (passive)</t>
  </si>
  <si>
    <t xml:space="preserve">-</t>
  </si>
  <si>
    <t xml:space="preserve">GOOD ก็เก็บโน้ตสูตรได้ (คนอื่นต้อง PERFECT)</t>
  </si>
  <si>
    <t xml:space="preserve">ABSOLUTE PITCH (signature)</t>
  </si>
  <si>
    <t xml:space="preserve">4 ตวัด : ตรงเวลา = ขนาดถูก + IN TUNE</t>
  </si>
  <si>
    <t xml:space="preserve">LOCKED TEMPO (passive)</t>
  </si>
  <si>
    <t xml:space="preserve">ขนาดไหนก็ถูก (IN TUNE เฉพาะที่ตรงจริง)</t>
  </si>
  <si>
    <t xml:space="preserve">CLOCKWORK (signature)</t>
  </si>
  <si>
    <t xml:space="preserve">4 ตวัด : ตรงเวลา (GOOD) = PERFECT</t>
  </si>
  <si>
    <t xml:space="preserve">RUNAWAY FIRE (passive)</t>
  </si>
  <si>
    <t xml:space="preserve">RunawayFireBonus</t>
  </si>
  <si>
    <t xml:space="preserve">MISS ไม่เสียพลัง บีตถัดไปแรง ×1.3</t>
  </si>
  <si>
    <t xml:space="preserve">SET ALIGHT (signature) power</t>
  </si>
  <si>
    <t xml:space="preserve">SetAlightPower</t>
  </si>
  <si>
    <t xml:space="preserve">4 ตวัด : แรง ×1.3</t>
  </si>
  <si>
    <t xml:space="preserve">SET ALIGHT (signature) push cap</t>
  </si>
  <si>
    <t xml:space="preserve">SetAlightCap</t>
  </si>
  <si>
    <t xml:space="preserve">ดันได้ถึง 10 ต่อโน้ต (ปกติ 8)</t>
  </si>
  <si>
    <t xml:space="preserve">THE CLOSER THE LOUDER (passive) max</t>
  </si>
  <si>
    <t xml:space="preserve">CloserLouderMax</t>
  </si>
  <si>
    <t xml:space="preserve">ลมยิ่งน้อย วงยิ่งแรง สูงสุด +25%</t>
  </si>
  <si>
    <t xml:space="preserve">THE CLOSER THE LOUDER (passive) from</t>
  </si>
  <si>
    <t xml:space="preserve">CloserLouderFrom</t>
  </si>
  <si>
    <t xml:space="preserve">เริ่มเมื่อลมต่ำกว่าครึ่ง</t>
  </si>
  <si>
    <t xml:space="preserve">DEAF EARS (signature)</t>
  </si>
  <si>
    <t xml:space="preserve">4 ตวัด : TACET ซัดไม่เสียลม</t>
  </si>
  <si>
    <t xml:space="preserve">EVERY ROAD HOME (passive)</t>
  </si>
  <si>
    <t xml:space="preserve">CrossCultureHarmony</t>
  </si>
  <si>
    <t xml:space="preserve">ต่างวัฒนธรรมบนบีตเดียวกัน +5% ต่อวัฒนธรรมที่เพิ่ม</t>
  </si>
  <si>
    <t xml:space="preserve">VILLAGE BAND (signature)</t>
  </si>
  <si>
    <t xml:space="preserve">VillageBandRecover</t>
  </si>
  <si>
    <t xml:space="preserve">4 ตวัด : ตวัดตรงเวลาคืนลม 3</t>
  </si>
  <si>
    <t xml:space="preserve">Musician Trait Matrix</t>
  </si>
  <si>
    <t xml:space="preserve">COUNTS ALOUD (PERFECT window +ms)</t>
  </si>
  <si>
    <t xml:space="preserve">KeepsCountWindow</t>
  </si>
  <si>
    <t xml:space="preserve">บนบีตลูกศรของเธอ หน้าต่าง PERFECT กว้างขึ้น 50 ms</t>
  </si>
  <si>
    <t xml:space="preserve">QuietPartPower</t>
  </si>
  <si>
    <t xml:space="preserve">ใส่โน้ต p ของ TACET แรง ×2</t>
  </si>
  <si>
    <t xml:space="preserve">MOMENTUM (per beat in a row)</t>
  </si>
  <si>
    <t xml:space="preserve">MomentumStep</t>
  </si>
  <si>
    <t xml:space="preserve">เล่นติดกันแรง +1 ต่อบีต</t>
  </si>
  <si>
    <t xml:space="preserve">MOMENTUM (max)</t>
  </si>
  <si>
    <t xml:space="preserve">MomentumMax</t>
  </si>
  <si>
    <t xml:space="preserve">ByEarPower</t>
  </si>
  <si>
    <t xml:space="preserve">บีต ??? แรง ×1.5</t>
  </si>
  <si>
    <t xml:space="preserve">HeldNoteShare</t>
  </si>
  <si>
    <t xml:space="preserve">บีตที่ไม่มีใครเล่น โน้ตเขาดังต่อ 40%</t>
  </si>
  <si>
    <t xml:space="preserve">OneStepBetterPower</t>
  </si>
  <si>
    <t xml:space="preserve">TACET เล่น f แรง ×1.3</t>
  </si>
  <si>
    <t xml:space="preserve">FourBarsPower</t>
  </si>
  <si>
    <t xml:space="preserve">เล่นครบ 4 บีตของห้อง บีตที่ 4 แรง ×2</t>
  </si>
  <si>
    <t xml:space="preserve">บีตลูกศรของเธอ ตวัดช้ายังได้ GOOD</t>
  </si>
  <si>
    <t xml:space="preserve">ThunderKnock</t>
  </si>
  <si>
    <t xml:space="preserve">ตวัดใหญ่ใส่ f หักโน้ตถัดไปของ TACET 2</t>
  </si>
  <si>
    <t xml:space="preserve">Motif Matrix (ของติดตัวทั้งรัน)</t>
  </si>
  <si>
    <t xml:space="preserve">Rarity 1 COMMON · 2 RARE · 3 TREASURED · Shop Price ดึงจากตารางราคาในแท็บ Economy · From Floor = ชั้นแรกที่สุ่มได้</t>
  </si>
  <si>
    <t xml:space="preserve">Motif</t>
  </si>
  <si>
    <t xml:space="preserve">Rarity</t>
  </si>
  <si>
    <t xml:space="preserve">Effect</t>
  </si>
  <si>
    <t xml:space="preserve">Shop Price</t>
  </si>
  <si>
    <t xml:space="preserve">From Floor</t>
  </si>
  <si>
    <t xml:space="preserve">ROSIN</t>
  </si>
  <si>
    <t xml:space="preserve">FamilyMotifPower</t>
  </si>
  <si>
    <t xml:space="preserve">String players hit 1 harder.</t>
  </si>
  <si>
    <t xml:space="preserve">REED CASE</t>
  </si>
  <si>
    <t xml:space="preserve">ReedCaseRest</t>
  </si>
  <si>
    <t xml:space="preserve">With a wind player on stage, every rest gives back 4 more breath.</t>
  </si>
  <si>
    <t xml:space="preserve">SPARE STICKS</t>
  </si>
  <si>
    <t xml:space="preserve">SpareSticksPower</t>
  </si>
  <si>
    <t xml:space="preserve">Percussion players hit 30 percent harder on TACET's f notes.</t>
  </si>
  <si>
    <t xml:space="preserve">PIANISSIMO</t>
  </si>
  <si>
    <t xml:space="preserve">PianissimoRecover</t>
  </si>
  <si>
    <t xml:space="preserve">A small stroke on a p note gives back 3 breath.</t>
  </si>
  <si>
    <t xml:space="preserve">PATRON'S PURSE</t>
  </si>
  <si>
    <t xml:space="preserve">PurseBonus</t>
  </si>
  <si>
    <t xml:space="preserve">Won fights pay 30 percent more shards.</t>
  </si>
  <si>
    <t xml:space="preserve">BREATH MARK</t>
  </si>
  <si>
    <t xml:space="preserve">BreathMarkRecover</t>
  </si>
  <si>
    <t xml:space="preserve">A rest gives back 15 breath instead of 12.</t>
  </si>
  <si>
    <t xml:space="preserve">TUTTI</t>
  </si>
  <si>
    <t xml:space="preserve">TuttiPerExtra</t>
  </si>
  <si>
    <t xml:space="preserve">Playing together is stronger. Each extra player adds 6 percent more.</t>
  </si>
  <si>
    <t xml:space="preserve">STEADY PULSE</t>
  </si>
  <si>
    <t xml:space="preserve">SteadyWindowBonus (ms)</t>
  </si>
  <si>
    <t xml:space="preserve">The PERFECT and GOOD timing windows are wider.</t>
  </si>
  <si>
    <t xml:space="preserve">ENCORE</t>
  </si>
  <si>
    <t xml:space="preserve">EncoreRecover</t>
  </si>
  <si>
    <t xml:space="preserve">After a win, 15 percent more breath comes back.</t>
  </si>
  <si>
    <t xml:space="preserve">RUBATO</t>
  </si>
  <si>
    <t xml:space="preserve">RubatoMissPower</t>
  </si>
  <si>
    <t xml:space="preserve">A MISS costs no extra breath and loses less power.</t>
  </si>
  <si>
    <t xml:space="preserve">CRESCENDO</t>
  </si>
  <si>
    <t xml:space="preserve">(combo ×2)</t>
  </si>
  <si>
    <t xml:space="preserve">The COMBO bonus grows twice as fast.</t>
  </si>
  <si>
    <t xml:space="preserve">SFORZANDO</t>
  </si>
  <si>
    <t xml:space="preserve">SforzandoPower</t>
  </si>
  <si>
    <t xml:space="preserve">A big stroke on an f note hits 20 percent harder.</t>
  </si>
  <si>
    <t xml:space="preserve">SECOND WIND</t>
  </si>
  <si>
    <t xml:space="preserve">SecondWindRefill</t>
  </si>
  <si>
    <t xml:space="preserve">Once per fight, when the band would collapse, 15 percent of its breath comes back.</t>
  </si>
  <si>
    <t xml:space="preserve">OVERTURE</t>
  </si>
  <si>
    <t xml:space="preserve">OverturePower</t>
  </si>
  <si>
    <t xml:space="preserve">The first beat of every round hits 50 percent harder.</t>
  </si>
  <si>
    <t xml:space="preserve">COUNTERPOINT</t>
  </si>
  <si>
    <t xml:space="preserve">CounterpointPower</t>
  </si>
  <si>
    <t xml:space="preserve">Against TACET's f notes, your answer hits 20 percent harder.</t>
  </si>
  <si>
    <t xml:space="preserve">ACCELERANDO</t>
  </si>
  <si>
    <t xml:space="preserve">AccelerandoCount</t>
  </si>
  <si>
    <t xml:space="preserve">Every shake in a TREMOLO counts twice.</t>
  </si>
  <si>
    <t xml:space="preserve">TENUTO</t>
  </si>
  <si>
    <t xml:space="preserve">TenutoRecover</t>
  </si>
  <si>
    <t xml:space="preserve">A FERMATA held to the end gives back 8 breath.</t>
  </si>
  <si>
    <t xml:space="preserve">GRACE NOTE</t>
  </si>
  <si>
    <t xml:space="preserve">GraceNotePower</t>
  </si>
  <si>
    <t xml:space="preserve">A spark that lands on time hits three times as hard.</t>
  </si>
  <si>
    <t xml:space="preserve">MARCATO</t>
  </si>
  <si>
    <t xml:space="preserve">MarcatoCap</t>
  </si>
  <si>
    <t xml:space="preserve">A COUNTER can push the line up to 16 in one beat, not just 8.</t>
  </si>
  <si>
    <t xml:space="preserve">CON BRIO</t>
  </si>
  <si>
    <t xml:space="preserve">ConBrioCombo</t>
  </si>
  <si>
    <t xml:space="preserve">FORTISSIMO lights after 6 PERFECTs in a row instead of 8.</t>
  </si>
  <si>
    <t xml:space="preserve">CODA</t>
  </si>
  <si>
    <t xml:space="preserve">CodaLine</t>
  </si>
  <si>
    <t xml:space="preserve">The FINALE is offered from +60 on the line instead of +80.</t>
  </si>
  <si>
    <t xml:space="preserve">Enemy Trait Matrix</t>
  </si>
  <si>
    <t xml:space="preserve">กลไกศัตรูข้างทางเริ่มชั้น 2 · Elite/บอสเริ่มชั้น 1</t>
  </si>
  <si>
    <t xml:space="preserve">ECHO FADES</t>
  </si>
  <si>
    <t xml:space="preserve">ตัวอักษร f/mf/p บนโน้ตจางหายก่อนถึง ต้องจำ</t>
  </si>
  <si>
    <t xml:space="preserve">FILLS THE GAPS</t>
  </si>
  <si>
    <t xml:space="preserve">FillsGapsPower</t>
  </si>
  <si>
    <t xml:space="preserve">โน้ตที่ MISS หรือปล่อยผ่าน แรง ×1.5</t>
  </si>
  <si>
    <t xml:space="preserve">LULLABY (BPM slower)</t>
  </si>
  <si>
    <t xml:space="preserve">LullabySlower</t>
  </si>
  <si>
    <t xml:space="preserve">รอบ 3 ช้าลง 8 BPM ใต้รอบ 1 ของชั้น</t>
  </si>
  <si>
    <t xml:space="preserve">FALSE NOTES</t>
  </si>
  <si>
    <t xml:space="preserve">โน้ต 1 ตัวต่อห้องแสดงความดังผิด</t>
  </si>
  <si>
    <t xml:space="preserve">SILENT MOUTHS</t>
  </si>
  <si>
    <t xml:space="preserve">ตั้งแต่รอบ 2 ปิดเสียงกลุ่มเครื่องหนึ่งกลุ่ม + โน้ตซ่อน ???</t>
  </si>
  <si>
    <t xml:space="preserve">NO REST (rest share)</t>
  </si>
  <si>
    <t xml:space="preserve">NoRestShare</t>
  </si>
  <si>
    <t xml:space="preserve">บีตเงียบคืนลมแค่ครึ่ง</t>
  </si>
  <si>
    <t xml:space="preserve">UNFINISHED (BPM faster)</t>
  </si>
  <si>
    <t xml:space="preserve">UnfinishedFaster</t>
  </si>
  <si>
    <t xml:space="preserve">รอบ 3 เล่นย้อนกลับ เร็วขึ้น 12 BPM + สลับซ้ายขวา</t>
  </si>
  <si>
    <t xml:space="preserve">ANSWER BETTER (mirror)</t>
  </si>
  <si>
    <t xml:space="preserve">MirrorScale</t>
  </si>
  <si>
    <t xml:space="preserve">ตั้งแต่รอบ 2 เล่นรอบที่แล้วของเราย้อนใส่ที่ 80%</t>
  </si>
  <si>
    <t xml:space="preserve">THE BARGAIN : power</t>
  </si>
  <si>
    <t xml:space="preserve">BargainPower</t>
  </si>
  <si>
    <t xml:space="preserve">ก่อนรอบ 2 เสนอดีล : แรง ×1.5 ในรอบนี้</t>
  </si>
  <si>
    <t xml:space="preserve">THE BARGAIN : breath cost</t>
  </si>
  <si>
    <t xml:space="preserve">BargainStamina</t>
  </si>
  <si>
    <t xml:space="preserve">แลกลมสูงสุด −15 ทั้งรัน</t>
  </si>
  <si>
    <t xml:space="preserve">Difficulty Curve  —  NORMAL / MAESTRO</t>
  </si>
  <si>
    <t xml:space="preserve">Tempo (BPM)</t>
  </si>
  <si>
    <t xml:space="preserve">ดวลเร็วขึ้นทุกรอบ และทุกชั้น · ms/beat = 60000 ÷ BPM (เวลาระหว่างบีต)</t>
  </si>
  <si>
    <t xml:space="preserve">Mode / Floor</t>
  </si>
  <si>
    <t xml:space="preserve">Round 1</t>
  </si>
  <si>
    <t xml:space="preserve">Round 2</t>
  </si>
  <si>
    <t xml:space="preserve">Round 3</t>
  </si>
  <si>
    <t xml:space="preserve">R1 ms/beat</t>
  </si>
  <si>
    <t xml:space="preserve">R2 ms/beat</t>
  </si>
  <si>
    <t xml:space="preserve">R3 ms/beat</t>
  </si>
  <si>
    <t xml:space="preserve">NORMAL · Floor 1</t>
  </si>
  <si>
    <t xml:space="preserve">TempoByFloor</t>
  </si>
  <si>
    <t xml:space="preserve">NORMAL · Floor 2</t>
  </si>
  <si>
    <t xml:space="preserve">NORMAL · Floor 3</t>
  </si>
  <si>
    <t xml:space="preserve">MAESTRO · Floor 1</t>
  </si>
  <si>
    <t xml:space="preserve">MaestroTempo</t>
  </si>
  <si>
    <t xml:space="preserve">MAESTRO · Floor 2</t>
  </si>
  <si>
    <t xml:space="preserve">MAESTRO · Floor 3</t>
  </si>
  <si>
    <t xml:space="preserve">Mode Differences</t>
  </si>
  <si>
    <t xml:space="preserve">Gentle fights (TACET plays only f and p)</t>
  </si>
  <si>
    <t xml:space="preserve">ดวลแรกๆ ของรัน ไม่มี mf · GENTLE เล่นแค่บีต 1 กับ 3</t>
  </si>
  <si>
    <t xml:space="preserve">Rolls (TREMOLO) from floor</t>
  </si>
  <si>
    <t xml:space="preserve">NORMAL : เฉพาะ Elite/บอสในชั้น 1</t>
  </si>
  <si>
    <t xml:space="preserve">Held notes (FERMATA) from floor</t>
  </si>
  <si>
    <t xml:space="preserve">ศัตรูธรรมดา</t>
  </si>
  <si>
    <t xml:space="preserve">Pairs (SPARK) from floor</t>
  </si>
  <si>
    <t xml:space="preserve">PERFECT window (± ms)</t>
  </si>
  <si>
    <t xml:space="preserve">GOOD window (± ms)</t>
  </si>
  <si>
    <t xml:space="preserve">Wrong size keeps</t>
  </si>
  <si>
    <t xml:space="preserve">⚠️ ยังรอผู้ใช้ตัดสิน : NORMAL 50% ทำให้ฟาดใหญ่ทุกโน้ตชนะ 77% ในตัวจำลอง</t>
  </si>
  <si>
    <t xml:space="preserve">Shakes for a PERFECT roll</t>
  </si>
  <si>
    <t xml:space="preserve">Floor power F1</t>
  </si>
  <si>
    <t xml:space="preserve">จากแท็บ Entity Tuning</t>
  </si>
  <si>
    <t xml:space="preserve">Floor power F2</t>
  </si>
  <si>
    <t xml:space="preserve">Floor power F3</t>
  </si>
  <si>
    <t xml:space="preserve">Enemy Note Power by Floor (mf note · from Entity Tuning)</t>
  </si>
  <si>
    <t xml:space="preserve">โน้ต f = ×2 · p = ×0.5 · ใช้ดูว่าแต่ละชั้นศัตรูแรงขึ้นแค่ไหน</t>
  </si>
  <si>
    <t xml:space="preserve">Economy  —  Shards · Shop · Rest · Rewards</t>
  </si>
  <si>
    <t xml:space="preserve">Rewards</t>
  </si>
  <si>
    <t xml:space="preserve">Shards : normal win</t>
  </si>
  <si>
    <t xml:space="preserve">ShardsNormal</t>
  </si>
  <si>
    <t xml:space="preserve">Shards : elite win</t>
  </si>
  <si>
    <t xml:space="preserve">ShardsElite</t>
  </si>
  <si>
    <t xml:space="preserve">Shards : boss win</t>
  </si>
  <si>
    <t xml:space="preserve">ShardsBoss</t>
  </si>
  <si>
    <t xml:space="preserve">Shards per PERFECT</t>
  </si>
  <si>
    <t xml:space="preserve">ShardsPerPerfect</t>
  </si>
  <si>
    <t xml:space="preserve">Motif offered after normal win</t>
  </si>
  <si>
    <t xml:space="preserve">MotifChanceNormal</t>
  </si>
  <si>
    <t xml:space="preserve">Elite/บอสได้เสนอทุกครั้ง</t>
  </si>
  <si>
    <t xml:space="preserve">Motif choices</t>
  </si>
  <si>
    <t xml:space="preserve">MotifChoices</t>
  </si>
  <si>
    <t xml:space="preserve">เลือก 1 จาก 3</t>
  </si>
  <si>
    <t xml:space="preserve">Skip motif pays</t>
  </si>
  <si>
    <t xml:space="preserve">SkipMotifShards</t>
  </si>
  <si>
    <t xml:space="preserve">Elite drops a musician</t>
  </si>
  <si>
    <t xml:space="preserve">EliteRecruitChance</t>
  </si>
  <si>
    <t xml:space="preserve">Motif Prices (by rarity)</t>
  </si>
  <si>
    <t xml:space="preserve">Price</t>
  </si>
  <si>
    <t xml:space="preserve">1 · COMMON</t>
  </si>
  <si>
    <t xml:space="preserve">MotifPrice[1]</t>
  </si>
  <si>
    <t xml:space="preserve">2 · RARE</t>
  </si>
  <si>
    <t xml:space="preserve">MotifPrice[2]</t>
  </si>
  <si>
    <t xml:space="preserve">3 · TREASURED</t>
  </si>
  <si>
    <t xml:space="preserve">MotifPrice[3]</t>
  </si>
  <si>
    <t xml:space="preserve">Shop</t>
  </si>
  <si>
    <t xml:space="preserve">Extra seat : first price</t>
  </si>
  <si>
    <t xml:space="preserve">SeatPriceBase</t>
  </si>
  <si>
    <t xml:space="preserve">Extra seat : each next adds</t>
  </si>
  <si>
    <t xml:space="preserve">SeatPriceStep</t>
  </si>
  <si>
    <t xml:space="preserve">Extra seat : 2nd price</t>
  </si>
  <si>
    <t xml:space="preserve">Extra seat : 3rd price</t>
  </si>
  <si>
    <t xml:space="preserve">Seats buyable per floor</t>
  </si>
  <si>
    <t xml:space="preserve">SeatsPerFloor</t>
  </si>
  <si>
    <t xml:space="preserve">สูงสุด 9 ที่บนเวที</t>
  </si>
  <si>
    <t xml:space="preserve">Tuning price</t>
  </si>
  <si>
    <t xml:space="preserve">TuningPrice</t>
  </si>
  <si>
    <t xml:space="preserve">Tuning breath back</t>
  </si>
  <si>
    <t xml:space="preserve">TuningRecover</t>
  </si>
  <si>
    <t xml:space="preserve">คืนลม 40% ของสูงสุด</t>
  </si>
  <si>
    <t xml:space="preserve">Hire a musician</t>
  </si>
  <si>
    <t xml:space="preserve">HirePrice</t>
  </si>
  <si>
    <t xml:space="preserve">คนจากยุคนี้</t>
  </si>
  <si>
    <t xml:space="preserve">Rest</t>
  </si>
  <si>
    <t xml:space="preserve">BREATHE : breath back (free)</t>
  </si>
  <si>
    <t xml:space="preserve">BreatheRecover</t>
  </si>
  <si>
    <t xml:space="preserve">คืนลม 40%</t>
  </si>
  <si>
    <t xml:space="preserve">DEEP REST : price</t>
  </si>
  <si>
    <t xml:space="preserve">DeepRestPrice</t>
  </si>
  <si>
    <t xml:space="preserve">คืนลมเต็ม</t>
  </si>
  <si>
    <t xml:space="preserve">REHEARSE : +1 power, times per musician</t>
  </si>
  <si>
    <t xml:space="preserve">RehearseMax</t>
  </si>
  <si>
    <t xml:space="preserve">Event Checks</t>
  </si>
  <si>
    <t xml:space="preserve">Chance per point of power</t>
  </si>
  <si>
    <t xml:space="preserve">CheckPerPower</t>
  </si>
  <si>
    <t xml:space="preserve">โอกาส = ฐานของตัวเลือก + พลัง × 5%</t>
  </si>
  <si>
    <t xml:space="preserve">Asked family bonus</t>
  </si>
  <si>
    <t xml:space="preserve">CheckFamilyBonus</t>
  </si>
  <si>
    <t xml:space="preserve">Simulation Results  (ตัวจำลอง ไม่ใช่คนเล่นจริง)</t>
  </si>
  <si>
    <t xml:space="preserve">Run Win Rate — 29 ก.ย. ก้อน 8 (หลังใส่เพลง 7 เพลง, APPRENTICE)</t>
  </si>
  <si>
    <t xml:space="preserve">จาก `--shots simulate` / `audit` ใน Core/DebugShots.cs · ความแม่นตาม BPM เป็นสมมติฐาน · ผลแกว่ง ±5–8% ระหว่างรัน</t>
  </si>
  <si>
    <t xml:space="preserve">Player Type</t>
  </si>
  <si>
    <t xml:space="preserve">Flawless</t>
  </si>
  <si>
    <t xml:space="preserve">Skilled</t>
  </si>
  <si>
    <t xml:space="preserve">Average</t>
  </si>
  <si>
    <t xml:space="preserve">Newcomer</t>
  </si>
  <si>
    <t xml:space="preserve">Big stroke on every note</t>
  </si>
  <si>
    <t xml:space="preserve">ฟาดใหญ่ทุกโน้ตโดยไม่อ่านตัวอักษร</t>
  </si>
  <si>
    <t xml:space="preserve">Conductor Win Rate — 29 ก.ย. ก้อน 6 (NORMAL, ก่อนใส่เพลงของ Elite/บอส)</t>
  </si>
  <si>
    <t xml:space="preserve">ตัวเลขชุดเก่ากว่าแถวบน ใช้เทียบระหว่างคอนดักเตอร์เท่านั้น</t>
  </si>
  <si>
    <t xml:space="preserve">TACET 4'33 — Balance Sheet</t>
  </si>
  <si>
    <t xml:space="preserve">ทำเมื่อ</t>
  </si>
  <si>
    <t xml:space="preserve"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</si>
  <si>
    <t xml:space="preserve">ที่มาของตัวเลข</t>
  </si>
  <si>
    <t xml:space="preserve"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</si>
  <si>
    <t xml:space="preserve">แก้ตัวเลขที่ไหน</t>
  </si>
  <si>
    <t xml:space="preserve"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</si>
  <si>
    <t xml:space="preserve">ช่องที่เป็นสูตร</t>
  </si>
  <si>
    <t xml:space="preserve"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</si>
  <si>
    <t xml:space="preserve">การปัดเศษแรงศัตรู</t>
  </si>
  <si>
    <t xml:space="preserve"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</si>
  <si>
    <t xml:space="preserve">Sim Results</t>
  </si>
  <si>
    <t xml:space="preserve">มาจากตัวจำลองในเกม (Core/DebugShots.cs) ยังไม่มีเพลย์เทสกับคนจริงของรอบ 15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</si>
</sst>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%"/>
    <numFmt numFmtId="167" formatCode="0.0"/>
    <numFmt numFmtId="168" formatCode="@"/>
    <numFmt numFmtId="169" formatCode="0.00"/>
    <numFmt numFmtId="170" formatCode="\×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FFFFFF"/>
      <name val="Roboto"/>
      <family val="0"/>
      <charset val="1"/>
    </font>
    <font>
      <b val="true"/>
      <sz val="11"/>
      <color rgb="FF1E3989"/>
      <name val="Roboto"/>
      <family val="0"/>
      <charset val="1"/>
    </font>
    <font>
      <b val="true"/>
      <sz val="10"/>
      <color rgb="FF334154"/>
      <name val="Roboto"/>
      <family val="0"/>
      <charset val="1"/>
    </font>
    <font>
      <sz val="10"/>
      <color rgb="FF1E293A"/>
      <name val="Roboto"/>
      <family val="0"/>
      <charset val="1"/>
    </font>
    <font>
      <i val="true"/>
      <sz val="9"/>
      <color rgb="FF64748B"/>
      <name val="Roboto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 diagonalUp="false" diagonalDown="false"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3" t="n">
        <v>3</v>
      </c>
      <c r="C2" s="2" t="s">
        <v>5</v>
      </c>
      <c r="D2" s="2" t="s">
        <v>6</v>
      </c>
    </row>
    <row r="3" customFormat="false" ht="15" hidden="false" customHeight="false" outlineLevel="0" collapsed="false">
      <c r="A3" s="2" t="s">
        <v>7</v>
      </c>
      <c r="B3" s="3" t="n">
        <v>7</v>
      </c>
      <c r="C3" s="2" t="s">
        <v>8</v>
      </c>
      <c r="D3" s="2" t="s">
        <v>9</v>
      </c>
    </row>
    <row r="4" customFormat="false" ht="15" hidden="false" customHeight="false" outlineLevel="0" collapsed="false">
      <c r="A4" s="2" t="s">
        <v>10</v>
      </c>
      <c r="B4" s="3" t="n">
        <v>10</v>
      </c>
      <c r="C4" s="2" t="s">
        <v>8</v>
      </c>
      <c r="D4" s="2"/>
    </row>
    <row r="5" customFormat="false" ht="15" hidden="false" customHeight="false" outlineLevel="0" collapsed="false">
      <c r="A5" s="2" t="s">
        <v>11</v>
      </c>
      <c r="B5" s="3" t="n">
        <v>3</v>
      </c>
      <c r="C5" s="2" t="s">
        <v>12</v>
      </c>
      <c r="D5" s="2" t="s">
        <v>13</v>
      </c>
    </row>
    <row r="6" customFormat="false" ht="15" hidden="false" customHeight="false" outlineLevel="0" collapsed="false">
      <c r="A6" s="2" t="s">
        <v>14</v>
      </c>
      <c r="B6" s="3" t="n">
        <v>8</v>
      </c>
      <c r="C6" s="2" t="s">
        <v>15</v>
      </c>
      <c r="D6" s="2" t="s">
        <v>16</v>
      </c>
    </row>
    <row r="7" customFormat="false" ht="15" hidden="false" customHeight="false" outlineLevel="0" collapsed="false">
      <c r="A7" s="2" t="s">
        <v>17</v>
      </c>
      <c r="B7" s="3" t="n">
        <v>1</v>
      </c>
      <c r="C7" s="2" t="s">
        <v>18</v>
      </c>
      <c r="D7" s="2" t="s">
        <v>19</v>
      </c>
    </row>
    <row r="8" customFormat="false" ht="15" hidden="false" customHeight="false" outlineLevel="0" collapsed="false">
      <c r="A8" s="2" t="s">
        <v>20</v>
      </c>
      <c r="B8" s="3" t="n">
        <v>2</v>
      </c>
      <c r="C8" s="2" t="s">
        <v>21</v>
      </c>
      <c r="D8" s="2" t="s">
        <v>22</v>
      </c>
    </row>
    <row r="9" customFormat="false" ht="15" hidden="false" customHeight="false" outlineLevel="0" collapsed="false">
      <c r="A9" s="2" t="s">
        <v>23</v>
      </c>
      <c r="B9" s="3" t="n">
        <v>3</v>
      </c>
      <c r="C9" s="2" t="s">
        <v>24</v>
      </c>
      <c r="D9" s="2" t="s">
        <v>25</v>
      </c>
    </row>
    <row r="10" customFormat="false" ht="15" hidden="false" customHeight="false" outlineLevel="0" collapsed="false">
      <c r="A10" s="2" t="s">
        <v>26</v>
      </c>
      <c r="B10" s="3" t="n">
        <f aca="false">B6*(B7+B8+B9)</f>
        <v>48</v>
      </c>
      <c r="C10" s="2" t="s">
        <v>27</v>
      </c>
      <c r="D10" s="2" t="s">
        <v>28</v>
      </c>
    </row>
    <row r="11" customFormat="false" ht="15" hidden="false" customHeight="false" outlineLevel="0" collapsed="false">
      <c r="A11" s="2" t="s">
        <v>29</v>
      </c>
      <c r="B11" s="3" t="n">
        <v>100</v>
      </c>
      <c r="C11" s="2" t="s">
        <v>30</v>
      </c>
      <c r="D11" s="2" t="s">
        <v>31</v>
      </c>
    </row>
    <row r="12" customFormat="false" ht="15" hidden="false" customHeight="false" outlineLevel="0" collapsed="false">
      <c r="A12" s="2" t="s">
        <v>32</v>
      </c>
      <c r="B12" s="3" t="n">
        <v>3</v>
      </c>
      <c r="C12" s="2" t="s">
        <v>33</v>
      </c>
      <c r="D12" s="2" t="s">
        <v>34</v>
      </c>
    </row>
    <row r="13" customFormat="false" ht="15" hidden="false" customHeight="false" outlineLevel="0" collapsed="false">
      <c r="A13" s="2" t="s">
        <v>35</v>
      </c>
      <c r="B13" s="3" t="n">
        <v>3</v>
      </c>
      <c r="C13" s="2" t="s">
        <v>36</v>
      </c>
      <c r="D13" s="2" t="s">
        <v>37</v>
      </c>
    </row>
    <row r="14" customFormat="false" ht="15" hidden="false" customHeight="false" outlineLevel="0" collapsed="false">
      <c r="A14" s="2" t="s">
        <v>38</v>
      </c>
      <c r="B14" s="3" t="n">
        <v>2</v>
      </c>
      <c r="C14" s="2" t="s">
        <v>39</v>
      </c>
      <c r="D14" s="2" t="s">
        <v>40</v>
      </c>
    </row>
    <row r="15" customFormat="false" ht="15" hidden="false" customHeight="false" outlineLevel="0" collapsed="false">
      <c r="A15" s="2" t="s">
        <v>41</v>
      </c>
      <c r="B15" s="3" t="n">
        <v>1</v>
      </c>
      <c r="C15" s="2" t="s">
        <v>42</v>
      </c>
      <c r="D15" s="2"/>
    </row>
    <row r="16" customFormat="false" ht="15" hidden="false" customHeight="false" outlineLevel="0" collapsed="false">
      <c r="A16" s="2" t="s">
        <v>43</v>
      </c>
      <c r="B16" s="4" t="n">
        <v>0.3</v>
      </c>
      <c r="C16" s="2" t="s">
        <v>44</v>
      </c>
      <c r="D16" s="2" t="s">
        <v>45</v>
      </c>
    </row>
    <row r="17" customFormat="false" ht="15" hidden="false" customHeight="false" outlineLevel="0" collapsed="false">
      <c r="A17" s="2" t="s">
        <v>46</v>
      </c>
      <c r="B17" s="3" t="n">
        <v>4</v>
      </c>
      <c r="C17" s="2" t="s">
        <v>47</v>
      </c>
      <c r="D17" s="2" t="s">
        <v>48</v>
      </c>
    </row>
    <row r="18" customFormat="false" ht="15" hidden="false" customHeight="false" outlineLevel="0" collapsed="false">
      <c r="A18" s="2" t="s">
        <v>49</v>
      </c>
      <c r="B18" s="5" t="n">
        <v>1.1</v>
      </c>
      <c r="C18" s="2" t="s">
        <v>50</v>
      </c>
      <c r="D18" s="2" t="s">
        <v>51</v>
      </c>
    </row>
    <row r="19" customFormat="false" ht="15" hidden="false" customHeight="false" outlineLevel="0" collapsed="false">
      <c r="A19" s="2" t="s">
        <v>52</v>
      </c>
      <c r="B19" s="5" t="n">
        <v>2.2</v>
      </c>
      <c r="C19" s="2" t="s">
        <v>53</v>
      </c>
      <c r="D19" s="2" t="s">
        <v>54</v>
      </c>
    </row>
    <row r="20" customFormat="false" ht="15" hidden="false" customHeight="false" outlineLevel="0" collapsed="false">
      <c r="A20" s="2" t="s">
        <v>55</v>
      </c>
      <c r="B20" s="5" t="n">
        <v>3.6</v>
      </c>
      <c r="C20" s="2" t="s">
        <v>56</v>
      </c>
      <c r="D20" s="2" t="s">
        <v>57</v>
      </c>
    </row>
    <row r="21" customFormat="false" ht="15" hidden="false" customHeight="false" outlineLevel="0" collapsed="false">
      <c r="A21" s="2" t="s">
        <v>58</v>
      </c>
      <c r="B21" s="5" t="n">
        <v>3</v>
      </c>
      <c r="C21" s="2" t="s">
        <v>59</v>
      </c>
      <c r="D21" s="2" t="s">
        <v>60</v>
      </c>
    </row>
    <row r="22" customFormat="false" ht="15" hidden="false" customHeight="false" outlineLevel="0" collapsed="false">
      <c r="A22" s="2" t="s">
        <v>61</v>
      </c>
      <c r="B22" s="5" t="n">
        <v>1.4</v>
      </c>
      <c r="C22" s="2" t="s">
        <v>62</v>
      </c>
      <c r="D22" s="2"/>
    </row>
    <row r="23" customFormat="false" ht="15" hidden="false" customHeight="false" outlineLevel="0" collapsed="false">
      <c r="A23" s="2" t="s">
        <v>63</v>
      </c>
      <c r="B23" s="5" t="n">
        <v>1</v>
      </c>
      <c r="C23" s="2" t="s">
        <v>64</v>
      </c>
      <c r="D23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7" min="4" style="0" width="12"/>
    <col collapsed="false" customWidth="true" hidden="false" outlineLevel="0" max="8" min="8" style="0" width="18"/>
    <col collapsed="false" customWidth="true" hidden="false" outlineLevel="0" max="10" min="9" style="0" width="12"/>
    <col collapsed="false" customWidth="true" hidden="false" outlineLevel="0" max="12" min="11" style="0" width="24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22" min="15" style="0" width="6"/>
  </cols>
  <sheetData>
    <row r="1" customFormat="false" ht="30" hidden="false" customHeight="true" outlineLevel="0" collapsed="false">
      <c r="A1" s="6" t="s">
        <v>66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3" customFormat="false" ht="21" hidden="false" customHeight="true" outlineLevel="0" collapsed="false">
      <c r="A3" s="7" t="s">
        <v>67</v>
      </c>
      <c r="B3" s="7"/>
      <c r="C3" s="7"/>
      <c r="D3" s="7"/>
    </row>
    <row r="4" customFormat="false" ht="15" hidden="false" customHeight="false" outlineLevel="0" collapsed="false">
      <c r="A4" s="8" t="s">
        <v>0</v>
      </c>
      <c r="B4" s="9" t="s">
        <v>1</v>
      </c>
      <c r="C4" s="9" t="s">
        <v>68</v>
      </c>
      <c r="D4" s="9" t="s">
        <v>3</v>
      </c>
    </row>
    <row r="5" customFormat="false" ht="15" hidden="false" customHeight="false" outlineLevel="0" collapsed="false">
      <c r="A5" s="10" t="s">
        <v>69</v>
      </c>
      <c r="B5" s="11" t="n">
        <v>60</v>
      </c>
      <c r="C5" s="12" t="s">
        <v>70</v>
      </c>
      <c r="D5" s="12" t="s">
        <v>71</v>
      </c>
    </row>
    <row r="6" customFormat="false" ht="15" hidden="false" customHeight="false" outlineLevel="0" collapsed="false">
      <c r="A6" s="13" t="s">
        <v>72</v>
      </c>
      <c r="B6" s="14" t="n">
        <v>8</v>
      </c>
      <c r="C6" s="15" t="s">
        <v>73</v>
      </c>
      <c r="D6" s="15"/>
    </row>
    <row r="7" customFormat="false" ht="15" hidden="false" customHeight="false" outlineLevel="0" collapsed="false">
      <c r="A7" s="10" t="s">
        <v>74</v>
      </c>
      <c r="B7" s="16" t="n">
        <v>0.8</v>
      </c>
      <c r="C7" s="12" t="s">
        <v>75</v>
      </c>
      <c r="D7" s="12" t="s">
        <v>76</v>
      </c>
    </row>
    <row r="8" customFormat="false" ht="15" hidden="false" customHeight="false" outlineLevel="0" collapsed="false">
      <c r="A8" s="13" t="s">
        <v>77</v>
      </c>
      <c r="B8" s="17" t="n">
        <v>0.04</v>
      </c>
      <c r="C8" s="15" t="s">
        <v>78</v>
      </c>
      <c r="D8" s="15"/>
    </row>
    <row r="10" customFormat="false" ht="21" hidden="false" customHeight="true" outlineLevel="0" collapsed="false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customFormat="false" ht="33.75" hidden="false" customHeight="true" outlineLevel="0" collapsed="false">
      <c r="A11" s="18" t="s">
        <v>80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false" outlineLevel="0" collapsed="false">
      <c r="A12" s="8" t="s">
        <v>81</v>
      </c>
      <c r="B12" s="9" t="s">
        <v>82</v>
      </c>
      <c r="C12" s="9" t="s">
        <v>83</v>
      </c>
      <c r="D12" s="9" t="s">
        <v>84</v>
      </c>
      <c r="E12" s="9" t="s">
        <v>85</v>
      </c>
      <c r="F12" s="9" t="s">
        <v>86</v>
      </c>
      <c r="G12" s="9" t="s">
        <v>87</v>
      </c>
      <c r="H12" s="9" t="s">
        <v>88</v>
      </c>
      <c r="I12" s="9" t="s">
        <v>89</v>
      </c>
      <c r="J12" s="9" t="s">
        <v>90</v>
      </c>
      <c r="K12" s="9" t="s">
        <v>91</v>
      </c>
      <c r="L12" s="9" t="s">
        <v>92</v>
      </c>
    </row>
    <row r="13" customFormat="false" ht="15" hidden="false" customHeight="false" outlineLevel="0" collapsed="false">
      <c r="A13" s="10" t="s">
        <v>93</v>
      </c>
      <c r="B13" s="19" t="s">
        <v>94</v>
      </c>
      <c r="C13" s="19" t="s">
        <v>95</v>
      </c>
      <c r="D13" s="11" t="n">
        <v>5</v>
      </c>
      <c r="E13" s="11" t="n">
        <v>5</v>
      </c>
      <c r="F13" s="11" t="n">
        <f aca="false">'Entity Tuning'!$B$5+D13*'Entity Tuning'!$B$6</f>
        <v>100</v>
      </c>
      <c r="G13" s="20" t="n">
        <f aca="false">'Entity Tuning'!$B$7+E13*'Entity Tuning'!$B$8</f>
        <v>1</v>
      </c>
      <c r="H13" s="11" t="n">
        <v>2</v>
      </c>
      <c r="I13" s="11" t="n">
        <v>2</v>
      </c>
      <c r="J13" s="11" t="n">
        <v>2</v>
      </c>
      <c r="K13" s="19" t="s">
        <v>96</v>
      </c>
      <c r="L13" s="19" t="s">
        <v>97</v>
      </c>
    </row>
    <row r="14" customFormat="false" ht="15" hidden="false" customHeight="false" outlineLevel="0" collapsed="false">
      <c r="A14" s="13" t="s">
        <v>98</v>
      </c>
      <c r="B14" s="21" t="s">
        <v>99</v>
      </c>
      <c r="C14" s="21" t="s">
        <v>100</v>
      </c>
      <c r="D14" s="14" t="n">
        <v>5</v>
      </c>
      <c r="E14" s="14" t="n">
        <v>6</v>
      </c>
      <c r="F14" s="14" t="n">
        <f aca="false">'Entity Tuning'!$B$5+D14*'Entity Tuning'!$B$6</f>
        <v>100</v>
      </c>
      <c r="G14" s="22" t="n">
        <f aca="false">'Entity Tuning'!$B$7+E14*'Entity Tuning'!$B$8</f>
        <v>1.04</v>
      </c>
      <c r="H14" s="14" t="n">
        <v>3</v>
      </c>
      <c r="I14" s="14" t="n">
        <v>0</v>
      </c>
      <c r="J14" s="14" t="n">
        <v>3</v>
      </c>
      <c r="K14" s="21" t="s">
        <v>101</v>
      </c>
      <c r="L14" s="21" t="s">
        <v>102</v>
      </c>
    </row>
    <row r="15" customFormat="false" ht="15" hidden="false" customHeight="false" outlineLevel="0" collapsed="false">
      <c r="A15" s="10" t="s">
        <v>103</v>
      </c>
      <c r="B15" s="19" t="s">
        <v>104</v>
      </c>
      <c r="C15" s="19" t="s">
        <v>105</v>
      </c>
      <c r="D15" s="11" t="n">
        <v>3</v>
      </c>
      <c r="E15" s="11" t="n">
        <v>7</v>
      </c>
      <c r="F15" s="11" t="n">
        <f aca="false">'Entity Tuning'!$B$5+D15*'Entity Tuning'!$B$6</f>
        <v>84</v>
      </c>
      <c r="G15" s="20" t="n">
        <f aca="false">'Entity Tuning'!$B$7+E15*'Entity Tuning'!$B$8</f>
        <v>1.08</v>
      </c>
      <c r="H15" s="11" t="n">
        <v>2</v>
      </c>
      <c r="I15" s="11" t="n">
        <v>0</v>
      </c>
      <c r="J15" s="11" t="n">
        <v>3</v>
      </c>
      <c r="K15" s="19" t="s">
        <v>106</v>
      </c>
      <c r="L15" s="19" t="s">
        <v>107</v>
      </c>
    </row>
    <row r="16" customFormat="false" ht="15" hidden="false" customHeight="false" outlineLevel="0" collapsed="false">
      <c r="A16" s="13" t="s">
        <v>108</v>
      </c>
      <c r="B16" s="21" t="s">
        <v>109</v>
      </c>
      <c r="C16" s="21" t="s">
        <v>110</v>
      </c>
      <c r="D16" s="14" t="n">
        <v>5</v>
      </c>
      <c r="E16" s="14" t="n">
        <v>3</v>
      </c>
      <c r="F16" s="14" t="n">
        <f aca="false">'Entity Tuning'!$B$5+D16*'Entity Tuning'!$B$6</f>
        <v>100</v>
      </c>
      <c r="G16" s="22" t="n">
        <f aca="false">'Entity Tuning'!$B$7+E16*'Entity Tuning'!$B$8</f>
        <v>0.92</v>
      </c>
      <c r="H16" s="14" t="n">
        <v>3</v>
      </c>
      <c r="I16" s="14" t="n">
        <v>3</v>
      </c>
      <c r="J16" s="14" t="n">
        <v>0</v>
      </c>
      <c r="K16" s="21" t="s">
        <v>111</v>
      </c>
      <c r="L16" s="21" t="s">
        <v>112</v>
      </c>
    </row>
    <row r="17" customFormat="false" ht="15" hidden="false" customHeight="false" outlineLevel="0" collapsed="false">
      <c r="A17" s="10" t="s">
        <v>113</v>
      </c>
      <c r="B17" s="19" t="s">
        <v>114</v>
      </c>
      <c r="C17" s="19" t="s">
        <v>115</v>
      </c>
      <c r="D17" s="11" t="n">
        <v>5</v>
      </c>
      <c r="E17" s="11" t="n">
        <v>5</v>
      </c>
      <c r="F17" s="11" t="n">
        <f aca="false">'Entity Tuning'!$B$5+D17*'Entity Tuning'!$B$6</f>
        <v>100</v>
      </c>
      <c r="G17" s="20" t="n">
        <f aca="false">'Entity Tuning'!$B$7+E17*'Entity Tuning'!$B$8</f>
        <v>1</v>
      </c>
      <c r="H17" s="11" t="n">
        <v>3</v>
      </c>
      <c r="I17" s="11" t="n">
        <v>3</v>
      </c>
      <c r="J17" s="11" t="n">
        <v>3</v>
      </c>
      <c r="K17" s="19" t="s">
        <v>116</v>
      </c>
      <c r="L17" s="19" t="s">
        <v>117</v>
      </c>
    </row>
    <row r="19" customFormat="false" ht="21" hidden="false" customHeight="true" outlineLevel="0" collapsed="false">
      <c r="A19" s="7" t="s">
        <v>118</v>
      </c>
      <c r="B19" s="7"/>
      <c r="C19" s="7"/>
      <c r="D19" s="7"/>
      <c r="E19" s="7"/>
      <c r="F19" s="7"/>
      <c r="G19" s="7"/>
      <c r="H19" s="7"/>
    </row>
    <row r="20" customFormat="false" ht="33.75" hidden="false" customHeight="true" outlineLevel="0" collapsed="false">
      <c r="A20" s="18" t="s">
        <v>119</v>
      </c>
      <c r="B20" s="18"/>
      <c r="C20" s="18"/>
      <c r="D20" s="18"/>
      <c r="E20" s="18"/>
      <c r="F20" s="18"/>
      <c r="G20" s="18"/>
      <c r="H20" s="18"/>
    </row>
    <row r="21" customFormat="false" ht="15" hidden="false" customHeight="false" outlineLevel="0" collapsed="false">
      <c r="A21" s="8" t="s">
        <v>120</v>
      </c>
      <c r="B21" s="9" t="s">
        <v>121</v>
      </c>
      <c r="C21" s="9" t="s">
        <v>122</v>
      </c>
      <c r="D21" s="9" t="s">
        <v>123</v>
      </c>
      <c r="E21" s="9" t="s">
        <v>124</v>
      </c>
      <c r="F21" s="9" t="s">
        <v>125</v>
      </c>
      <c r="G21" s="9" t="s">
        <v>126</v>
      </c>
      <c r="H21" s="9" t="s">
        <v>127</v>
      </c>
    </row>
    <row r="22" customFormat="false" ht="15" hidden="false" customHeight="false" outlineLevel="0" collapsed="false">
      <c r="A22" s="10" t="s">
        <v>128</v>
      </c>
      <c r="B22" s="19" t="s">
        <v>129</v>
      </c>
      <c r="C22" s="19" t="s">
        <v>130</v>
      </c>
      <c r="D22" s="19" t="s">
        <v>131</v>
      </c>
      <c r="E22" s="19" t="s">
        <v>132</v>
      </c>
      <c r="F22" s="11" t="n">
        <v>5</v>
      </c>
      <c r="G22" s="19" t="s">
        <v>133</v>
      </c>
      <c r="H22" s="19" t="s">
        <v>134</v>
      </c>
    </row>
    <row r="23" customFormat="false" ht="15" hidden="false" customHeight="false" outlineLevel="0" collapsed="false">
      <c r="A23" s="13" t="s">
        <v>135</v>
      </c>
      <c r="B23" s="21" t="s">
        <v>136</v>
      </c>
      <c r="C23" s="21" t="s">
        <v>137</v>
      </c>
      <c r="D23" s="21" t="s">
        <v>131</v>
      </c>
      <c r="E23" s="21" t="s">
        <v>138</v>
      </c>
      <c r="F23" s="14" t="n">
        <v>4</v>
      </c>
      <c r="G23" s="21" t="s">
        <v>133</v>
      </c>
      <c r="H23" s="21" t="s">
        <v>139</v>
      </c>
    </row>
    <row r="24" customFormat="false" ht="15" hidden="false" customHeight="false" outlineLevel="0" collapsed="false">
      <c r="A24" s="10" t="s">
        <v>140</v>
      </c>
      <c r="B24" s="19" t="s">
        <v>141</v>
      </c>
      <c r="C24" s="19" t="s">
        <v>142</v>
      </c>
      <c r="D24" s="19" t="s">
        <v>131</v>
      </c>
      <c r="E24" s="19" t="s">
        <v>143</v>
      </c>
      <c r="F24" s="11" t="n">
        <v>6</v>
      </c>
      <c r="G24" s="19" t="s">
        <v>133</v>
      </c>
      <c r="H24" s="19" t="s">
        <v>144</v>
      </c>
    </row>
    <row r="25" customFormat="false" ht="15" hidden="false" customHeight="false" outlineLevel="0" collapsed="false">
      <c r="A25" s="13" t="s">
        <v>145</v>
      </c>
      <c r="B25" s="21" t="s">
        <v>146</v>
      </c>
      <c r="C25" s="21" t="s">
        <v>130</v>
      </c>
      <c r="D25" s="21" t="s">
        <v>147</v>
      </c>
      <c r="E25" s="21" t="s">
        <v>138</v>
      </c>
      <c r="F25" s="14" t="n">
        <v>5</v>
      </c>
      <c r="G25" s="21" t="s">
        <v>147</v>
      </c>
      <c r="H25" s="21" t="s">
        <v>148</v>
      </c>
    </row>
    <row r="26" customFormat="false" ht="15" hidden="false" customHeight="false" outlineLevel="0" collapsed="false">
      <c r="A26" s="10" t="s">
        <v>149</v>
      </c>
      <c r="B26" s="19" t="s">
        <v>150</v>
      </c>
      <c r="C26" s="19" t="s">
        <v>137</v>
      </c>
      <c r="D26" s="19" t="s">
        <v>147</v>
      </c>
      <c r="E26" s="19" t="s">
        <v>143</v>
      </c>
      <c r="F26" s="11" t="n">
        <v>4</v>
      </c>
      <c r="G26" s="19" t="s">
        <v>147</v>
      </c>
      <c r="H26" s="19" t="s">
        <v>151</v>
      </c>
    </row>
    <row r="27" customFormat="false" ht="15" hidden="false" customHeight="false" outlineLevel="0" collapsed="false">
      <c r="A27" s="13" t="s">
        <v>152</v>
      </c>
      <c r="B27" s="21" t="s">
        <v>153</v>
      </c>
      <c r="C27" s="21" t="s">
        <v>142</v>
      </c>
      <c r="D27" s="21" t="s">
        <v>147</v>
      </c>
      <c r="E27" s="21" t="s">
        <v>132</v>
      </c>
      <c r="F27" s="14" t="n">
        <v>6</v>
      </c>
      <c r="G27" s="21" t="s">
        <v>147</v>
      </c>
      <c r="H27" s="21" t="s">
        <v>154</v>
      </c>
    </row>
    <row r="28" customFormat="false" ht="15" hidden="false" customHeight="false" outlineLevel="0" collapsed="false">
      <c r="A28" s="10" t="s">
        <v>155</v>
      </c>
      <c r="B28" s="19" t="s">
        <v>156</v>
      </c>
      <c r="C28" s="19" t="s">
        <v>130</v>
      </c>
      <c r="D28" s="19" t="s">
        <v>157</v>
      </c>
      <c r="E28" s="19" t="s">
        <v>143</v>
      </c>
      <c r="F28" s="11" t="n">
        <v>6</v>
      </c>
      <c r="G28" s="19" t="s">
        <v>133</v>
      </c>
      <c r="H28" s="19" t="s">
        <v>158</v>
      </c>
    </row>
    <row r="29" customFormat="false" ht="15" hidden="false" customHeight="false" outlineLevel="0" collapsed="false">
      <c r="A29" s="13" t="s">
        <v>159</v>
      </c>
      <c r="B29" s="21" t="s">
        <v>160</v>
      </c>
      <c r="C29" s="21" t="s">
        <v>137</v>
      </c>
      <c r="D29" s="21" t="s">
        <v>157</v>
      </c>
      <c r="E29" s="21" t="s">
        <v>132</v>
      </c>
      <c r="F29" s="14" t="n">
        <v>5</v>
      </c>
      <c r="G29" s="21" t="s">
        <v>133</v>
      </c>
      <c r="H29" s="21" t="s">
        <v>161</v>
      </c>
    </row>
    <row r="30" customFormat="false" ht="15" hidden="false" customHeight="false" outlineLevel="0" collapsed="false">
      <c r="A30" s="10" t="s">
        <v>162</v>
      </c>
      <c r="B30" s="19" t="s">
        <v>163</v>
      </c>
      <c r="C30" s="19" t="s">
        <v>142</v>
      </c>
      <c r="D30" s="19" t="s">
        <v>157</v>
      </c>
      <c r="E30" s="19" t="s">
        <v>138</v>
      </c>
      <c r="F30" s="11" t="n">
        <v>7</v>
      </c>
      <c r="G30" s="19" t="s">
        <v>133</v>
      </c>
      <c r="H30" s="19" t="s">
        <v>164</v>
      </c>
    </row>
    <row r="31" customFormat="false" ht="15" hidden="false" customHeight="false" outlineLevel="0" collapsed="false">
      <c r="A31" s="13" t="s">
        <v>165</v>
      </c>
      <c r="B31" s="21"/>
      <c r="C31" s="21"/>
      <c r="D31" s="21"/>
      <c r="E31" s="21"/>
      <c r="F31" s="17" t="n">
        <f aca="false">AVERAGE(F22:F30)</f>
        <v>5.33333333333333</v>
      </c>
      <c r="G31" s="21"/>
      <c r="H31" s="21"/>
    </row>
    <row r="33" customFormat="false" ht="21" hidden="false" customHeight="true" outlineLevel="0" collapsed="false">
      <c r="A33" s="7" t="s">
        <v>166</v>
      </c>
      <c r="B33" s="7"/>
      <c r="C33" s="7"/>
      <c r="D33" s="7"/>
    </row>
    <row r="34" customFormat="false" ht="18.75" hidden="false" customHeight="true" outlineLevel="0" collapsed="false">
      <c r="A34" s="18" t="s">
        <v>167</v>
      </c>
      <c r="B34" s="18"/>
      <c r="C34" s="18"/>
      <c r="D34" s="18"/>
    </row>
    <row r="35" customFormat="false" ht="15" hidden="false" customHeight="false" outlineLevel="0" collapsed="false">
      <c r="A35" s="8" t="s">
        <v>0</v>
      </c>
      <c r="B35" s="9" t="s">
        <v>1</v>
      </c>
      <c r="C35" s="9" t="s">
        <v>68</v>
      </c>
      <c r="D35" s="9" t="s">
        <v>3</v>
      </c>
    </row>
    <row r="36" customFormat="false" ht="15" hidden="false" customHeight="false" outlineLevel="0" collapsed="false">
      <c r="A36" s="10" t="s">
        <v>168</v>
      </c>
      <c r="B36" s="16" t="n">
        <v>3.4</v>
      </c>
      <c r="C36" s="12" t="s">
        <v>169</v>
      </c>
      <c r="D36" s="12" t="s">
        <v>170</v>
      </c>
    </row>
    <row r="37" customFormat="false" ht="15" hidden="false" customHeight="false" outlineLevel="0" collapsed="false">
      <c r="A37" s="13" t="s">
        <v>171</v>
      </c>
      <c r="B37" s="17" t="n">
        <v>2.1</v>
      </c>
      <c r="C37" s="15" t="s">
        <v>172</v>
      </c>
      <c r="D37" s="15"/>
    </row>
    <row r="38" customFormat="false" ht="15" hidden="false" customHeight="false" outlineLevel="0" collapsed="false">
      <c r="A38" s="10" t="s">
        <v>173</v>
      </c>
      <c r="B38" s="16" t="n">
        <v>2.7</v>
      </c>
      <c r="C38" s="12" t="s">
        <v>174</v>
      </c>
      <c r="D38" s="12"/>
    </row>
    <row r="40" customFormat="false" ht="15" hidden="false" customHeight="false" outlineLevel="0" collapsed="false">
      <c r="A40" s="8" t="s">
        <v>175</v>
      </c>
      <c r="B40" s="9" t="s">
        <v>176</v>
      </c>
      <c r="C40" s="9" t="s">
        <v>177</v>
      </c>
      <c r="D40" s="9" t="s">
        <v>178</v>
      </c>
    </row>
    <row r="41" customFormat="false" ht="15" hidden="false" customHeight="false" outlineLevel="0" collapsed="false">
      <c r="A41" s="10" t="s">
        <v>179</v>
      </c>
      <c r="B41" s="16" t="n">
        <v>0.8</v>
      </c>
      <c r="C41" s="16" t="n">
        <v>1.25</v>
      </c>
      <c r="D41" s="16" t="n">
        <v>2.1</v>
      </c>
    </row>
    <row r="42" customFormat="false" ht="15" hidden="false" customHeight="false" outlineLevel="0" collapsed="false">
      <c r="A42" s="13" t="s">
        <v>180</v>
      </c>
      <c r="B42" s="17" t="n">
        <v>1</v>
      </c>
      <c r="C42" s="17" t="n">
        <v>1.65</v>
      </c>
      <c r="D42" s="17" t="n">
        <v>2.4</v>
      </c>
    </row>
    <row r="44" customFormat="false" ht="21" hidden="false" customHeight="true" outlineLevel="0" collapsed="false">
      <c r="A44" s="7" t="s">
        <v>181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customFormat="false" ht="48.75" hidden="false" customHeight="true" outlineLevel="0" collapsed="false">
      <c r="A45" s="18" t="s">
        <v>182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customFormat="false" ht="15" hidden="false" customHeight="false" outlineLevel="0" collapsed="false">
      <c r="A46" s="8" t="s">
        <v>183</v>
      </c>
      <c r="B46" s="9" t="s">
        <v>184</v>
      </c>
      <c r="C46" s="9" t="s">
        <v>185</v>
      </c>
      <c r="D46" s="9" t="s">
        <v>186</v>
      </c>
      <c r="E46" s="9" t="s">
        <v>187</v>
      </c>
      <c r="F46" s="9" t="s">
        <v>188</v>
      </c>
      <c r="G46" s="9" t="s">
        <v>189</v>
      </c>
      <c r="H46" s="9" t="s">
        <v>190</v>
      </c>
      <c r="I46" s="9" t="s">
        <v>191</v>
      </c>
      <c r="J46" s="9" t="s">
        <v>192</v>
      </c>
      <c r="K46" s="9" t="s">
        <v>193</v>
      </c>
      <c r="L46" s="9" t="s">
        <v>194</v>
      </c>
      <c r="M46" s="9" t="s">
        <v>195</v>
      </c>
      <c r="N46" s="9" t="s">
        <v>196</v>
      </c>
      <c r="O46" s="9" t="s">
        <v>197</v>
      </c>
      <c r="P46" s="9" t="s">
        <v>198</v>
      </c>
      <c r="Q46" s="9" t="s">
        <v>199</v>
      </c>
      <c r="R46" s="9" t="s">
        <v>200</v>
      </c>
      <c r="S46" s="9" t="s">
        <v>201</v>
      </c>
      <c r="T46" s="9" t="s">
        <v>202</v>
      </c>
      <c r="U46" s="9" t="s">
        <v>203</v>
      </c>
      <c r="V46" s="9" t="s">
        <v>204</v>
      </c>
    </row>
    <row r="47" customFormat="false" ht="15" hidden="false" customHeight="false" outlineLevel="0" collapsed="false">
      <c r="A47" s="10" t="s">
        <v>205</v>
      </c>
      <c r="B47" s="19" t="s">
        <v>206</v>
      </c>
      <c r="C47" s="19" t="s">
        <v>207</v>
      </c>
      <c r="D47" s="11" t="n">
        <f aca="false">ROUND(AVERAGEIF(O47:V47,"&gt;0"),0)</f>
        <v>4</v>
      </c>
      <c r="E47" s="16" t="n">
        <f aca="false">'Entity Tuning'!$B$36</f>
        <v>3.4</v>
      </c>
      <c r="F47" s="11" t="n">
        <f aca="false">ROUND(D47*E47*'Entity Tuning'!$B$41,0)-(MOD(D47*E47*'Entity Tuning'!$B$41,2)=0.5)</f>
        <v>11</v>
      </c>
      <c r="G47" s="11" t="n">
        <f aca="false">ROUND(D47*E47*'Entity Tuning'!$C$41,0)-(MOD(D47*E47*'Entity Tuning'!$C$41,2)=0.5)</f>
        <v>17</v>
      </c>
      <c r="H47" s="11" t="n">
        <f aca="false">ROUND(D47*E47*'Entity Tuning'!$D$41,0)-(MOD(D47*E47*'Entity Tuning'!$D$41,2)=0.5)</f>
        <v>29</v>
      </c>
      <c r="I47" s="11" t="n">
        <f aca="false">ROUND(D47*E47*'Entity Tuning'!$B$42,0)-(MOD(D47*E47*'Entity Tuning'!$B$42,2)=0.5)</f>
        <v>14</v>
      </c>
      <c r="J47" s="11" t="n">
        <f aca="false">ROUND(D47*E47*'Entity Tuning'!$C$42,0)-(MOD(D47*E47*'Entity Tuning'!$C$42,2)=0.5)</f>
        <v>22</v>
      </c>
      <c r="K47" s="11" t="n">
        <f aca="false">ROUND(D47*E47*'Entity Tuning'!$D$42,0)-(MOD(D47*E47*'Entity Tuning'!$D$42,2)=0.5)</f>
        <v>33</v>
      </c>
      <c r="L47" s="16" t="n">
        <v>1</v>
      </c>
      <c r="M47" s="23" t="n">
        <f aca="false">'Game States'!$B$11/L47</f>
        <v>100</v>
      </c>
      <c r="N47" s="19" t="s">
        <v>208</v>
      </c>
      <c r="O47" s="11" t="n">
        <v>4</v>
      </c>
      <c r="P47" s="11" t="n">
        <v>0</v>
      </c>
      <c r="Q47" s="11" t="n">
        <v>3</v>
      </c>
      <c r="R47" s="11" t="n">
        <v>4</v>
      </c>
      <c r="S47" s="11" t="n">
        <v>0</v>
      </c>
      <c r="T47" s="11" t="n">
        <v>0</v>
      </c>
      <c r="U47" s="11" t="n">
        <v>5</v>
      </c>
      <c r="V47" s="11" t="n">
        <v>0</v>
      </c>
    </row>
    <row r="48" customFormat="false" ht="15" hidden="false" customHeight="false" outlineLevel="0" collapsed="false">
      <c r="A48" s="13" t="s">
        <v>209</v>
      </c>
      <c r="B48" s="21" t="s">
        <v>206</v>
      </c>
      <c r="C48" s="21" t="s">
        <v>210</v>
      </c>
      <c r="D48" s="14" t="n">
        <f aca="false">ROUND(AVERAGEIF(O48:V48,"&gt;0"),0)</f>
        <v>4</v>
      </c>
      <c r="E48" s="17" t="n">
        <f aca="false">'Entity Tuning'!$B$36</f>
        <v>3.4</v>
      </c>
      <c r="F48" s="14" t="n">
        <f aca="false">ROUND(D48*E48*'Entity Tuning'!$B$41,0)-(MOD(D48*E48*'Entity Tuning'!$B$41,2)=0.5)</f>
        <v>11</v>
      </c>
      <c r="G48" s="14" t="n">
        <f aca="false">ROUND(D48*E48*'Entity Tuning'!$C$41,0)-(MOD(D48*E48*'Entity Tuning'!$C$41,2)=0.5)</f>
        <v>17</v>
      </c>
      <c r="H48" s="14" t="n">
        <f aca="false">ROUND(D48*E48*'Entity Tuning'!$D$41,0)-(MOD(D48*E48*'Entity Tuning'!$D$41,2)=0.5)</f>
        <v>29</v>
      </c>
      <c r="I48" s="14" t="n">
        <f aca="false">ROUND(D48*E48*'Entity Tuning'!$B$42,0)-(MOD(D48*E48*'Entity Tuning'!$B$42,2)=0.5)</f>
        <v>14</v>
      </c>
      <c r="J48" s="14" t="n">
        <f aca="false">ROUND(D48*E48*'Entity Tuning'!$C$42,0)-(MOD(D48*E48*'Entity Tuning'!$C$42,2)=0.5)</f>
        <v>22</v>
      </c>
      <c r="K48" s="14" t="n">
        <f aca="false">ROUND(D48*E48*'Entity Tuning'!$D$42,0)-(MOD(D48*E48*'Entity Tuning'!$D$42,2)=0.5)</f>
        <v>33</v>
      </c>
      <c r="L48" s="17" t="n">
        <v>1</v>
      </c>
      <c r="M48" s="24" t="n">
        <f aca="false">'Game States'!$B$11/L48</f>
        <v>100</v>
      </c>
      <c r="N48" s="21" t="s">
        <v>211</v>
      </c>
      <c r="O48" s="14" t="n">
        <v>0</v>
      </c>
      <c r="P48" s="14" t="n">
        <v>4</v>
      </c>
      <c r="Q48" s="14" t="n">
        <v>0</v>
      </c>
      <c r="R48" s="14" t="n">
        <v>4</v>
      </c>
      <c r="S48" s="14" t="n">
        <v>0</v>
      </c>
      <c r="T48" s="14" t="n">
        <v>4</v>
      </c>
      <c r="U48" s="14" t="n">
        <v>0</v>
      </c>
      <c r="V48" s="14" t="n">
        <v>5</v>
      </c>
    </row>
    <row r="49" customFormat="false" ht="15" hidden="false" customHeight="false" outlineLevel="0" collapsed="false">
      <c r="A49" s="10" t="s">
        <v>212</v>
      </c>
      <c r="B49" s="19" t="s">
        <v>206</v>
      </c>
      <c r="C49" s="19" t="s">
        <v>213</v>
      </c>
      <c r="D49" s="11" t="n">
        <f aca="false">ROUND(AVERAGEIF(O49:V49,"&gt;0"),0)</f>
        <v>4</v>
      </c>
      <c r="E49" s="16" t="n">
        <f aca="false">'Entity Tuning'!$B$36</f>
        <v>3.4</v>
      </c>
      <c r="F49" s="11" t="n">
        <f aca="false">ROUND(D49*E49*'Entity Tuning'!$B$41,0)-(MOD(D49*E49*'Entity Tuning'!$B$41,2)=0.5)</f>
        <v>11</v>
      </c>
      <c r="G49" s="11" t="n">
        <f aca="false">ROUND(D49*E49*'Entity Tuning'!$C$41,0)-(MOD(D49*E49*'Entity Tuning'!$C$41,2)=0.5)</f>
        <v>17</v>
      </c>
      <c r="H49" s="11" t="n">
        <f aca="false">ROUND(D49*E49*'Entity Tuning'!$D$41,0)-(MOD(D49*E49*'Entity Tuning'!$D$41,2)=0.5)</f>
        <v>29</v>
      </c>
      <c r="I49" s="11" t="n">
        <f aca="false">ROUND(D49*E49*'Entity Tuning'!$B$42,0)-(MOD(D49*E49*'Entity Tuning'!$B$42,2)=0.5)</f>
        <v>14</v>
      </c>
      <c r="J49" s="11" t="n">
        <f aca="false">ROUND(D49*E49*'Entity Tuning'!$C$42,0)-(MOD(D49*E49*'Entity Tuning'!$C$42,2)=0.5)</f>
        <v>22</v>
      </c>
      <c r="K49" s="11" t="n">
        <f aca="false">ROUND(D49*E49*'Entity Tuning'!$D$42,0)-(MOD(D49*E49*'Entity Tuning'!$D$42,2)=0.5)</f>
        <v>33</v>
      </c>
      <c r="L49" s="16" t="n">
        <v>1</v>
      </c>
      <c r="M49" s="23" t="n">
        <f aca="false">'Game States'!$B$11/L49</f>
        <v>100</v>
      </c>
      <c r="N49" s="19" t="s">
        <v>214</v>
      </c>
      <c r="O49" s="11" t="n">
        <v>3</v>
      </c>
      <c r="P49" s="11" t="n">
        <v>3</v>
      </c>
      <c r="Q49" s="11" t="n">
        <v>0</v>
      </c>
      <c r="R49" s="11" t="n">
        <v>0</v>
      </c>
      <c r="S49" s="11" t="n">
        <v>7</v>
      </c>
      <c r="T49" s="11" t="n">
        <v>0</v>
      </c>
      <c r="U49" s="11" t="n">
        <v>3</v>
      </c>
      <c r="V49" s="11" t="n">
        <v>3</v>
      </c>
    </row>
    <row r="50" customFormat="false" ht="15" hidden="false" customHeight="false" outlineLevel="0" collapsed="false">
      <c r="A50" s="13" t="s">
        <v>215</v>
      </c>
      <c r="B50" s="21" t="s">
        <v>206</v>
      </c>
      <c r="C50" s="21" t="s">
        <v>210</v>
      </c>
      <c r="D50" s="14" t="n">
        <f aca="false">ROUND(AVERAGEIF(O50:V50,"&gt;0"),0)</f>
        <v>4</v>
      </c>
      <c r="E50" s="17" t="n">
        <f aca="false">'Entity Tuning'!$B$36</f>
        <v>3.4</v>
      </c>
      <c r="F50" s="14" t="n">
        <f aca="false">ROUND(D50*E50*'Entity Tuning'!$B$41,0)-(MOD(D50*E50*'Entity Tuning'!$B$41,2)=0.5)</f>
        <v>11</v>
      </c>
      <c r="G50" s="14" t="n">
        <f aca="false">ROUND(D50*E50*'Entity Tuning'!$C$41,0)-(MOD(D50*E50*'Entity Tuning'!$C$41,2)=0.5)</f>
        <v>17</v>
      </c>
      <c r="H50" s="14" t="n">
        <f aca="false">ROUND(D50*E50*'Entity Tuning'!$D$41,0)-(MOD(D50*E50*'Entity Tuning'!$D$41,2)=0.5)</f>
        <v>29</v>
      </c>
      <c r="I50" s="14" t="n">
        <f aca="false">ROUND(D50*E50*'Entity Tuning'!$B$42,0)-(MOD(D50*E50*'Entity Tuning'!$B$42,2)=0.5)</f>
        <v>14</v>
      </c>
      <c r="J50" s="14" t="n">
        <f aca="false">ROUND(D50*E50*'Entity Tuning'!$C$42,0)-(MOD(D50*E50*'Entity Tuning'!$C$42,2)=0.5)</f>
        <v>22</v>
      </c>
      <c r="K50" s="14" t="n">
        <f aca="false">ROUND(D50*E50*'Entity Tuning'!$D$42,0)-(MOD(D50*E50*'Entity Tuning'!$D$42,2)=0.5)</f>
        <v>33</v>
      </c>
      <c r="L50" s="17" t="n">
        <v>1</v>
      </c>
      <c r="M50" s="24" t="n">
        <f aca="false">'Game States'!$B$11/L50</f>
        <v>100</v>
      </c>
      <c r="N50" s="21" t="s">
        <v>216</v>
      </c>
      <c r="O50" s="14" t="n">
        <v>4</v>
      </c>
      <c r="P50" s="14" t="n">
        <v>0</v>
      </c>
      <c r="Q50" s="14" t="n">
        <v>3</v>
      </c>
      <c r="R50" s="14" t="n">
        <v>0</v>
      </c>
      <c r="S50" s="14" t="n">
        <v>4</v>
      </c>
      <c r="T50" s="14" t="n">
        <v>0</v>
      </c>
      <c r="U50" s="14" t="n">
        <v>3</v>
      </c>
      <c r="V50" s="14" t="n">
        <v>6</v>
      </c>
    </row>
    <row r="51" customFormat="false" ht="15" hidden="false" customHeight="false" outlineLevel="0" collapsed="false">
      <c r="A51" s="10" t="s">
        <v>217</v>
      </c>
      <c r="B51" s="19" t="s">
        <v>218</v>
      </c>
      <c r="C51" s="19" t="s">
        <v>219</v>
      </c>
      <c r="D51" s="11" t="n">
        <f aca="false">ROUND(AVERAGEIF(O51:V51,"&gt;0"),0)</f>
        <v>5</v>
      </c>
      <c r="E51" s="16" t="n">
        <f aca="false">'Entity Tuning'!$B$37</f>
        <v>2.1</v>
      </c>
      <c r="F51" s="11" t="n">
        <f aca="false">ROUND(D51*E51*'Entity Tuning'!$B$41,0)-(MOD(D51*E51*'Entity Tuning'!$B$41,2)=0.5)</f>
        <v>8</v>
      </c>
      <c r="G51" s="11" t="n">
        <f aca="false">ROUND(D51*E51*'Entity Tuning'!$C$41,0)-(MOD(D51*E51*'Entity Tuning'!$C$41,2)=0.5)</f>
        <v>13</v>
      </c>
      <c r="H51" s="11" t="n">
        <f aca="false">ROUND(D51*E51*'Entity Tuning'!$D$41,0)-(MOD(D51*E51*'Entity Tuning'!$D$41,2)=0.5)</f>
        <v>22</v>
      </c>
      <c r="I51" s="11" t="n">
        <f aca="false">ROUND(D51*E51*'Entity Tuning'!$B$42,0)-(MOD(D51*E51*'Entity Tuning'!$B$42,2)=0.5)</f>
        <v>10</v>
      </c>
      <c r="J51" s="11" t="n">
        <f aca="false">ROUND(D51*E51*'Entity Tuning'!$C$42,0)-(MOD(D51*E51*'Entity Tuning'!$C$42,2)=0.5)</f>
        <v>17</v>
      </c>
      <c r="K51" s="11" t="n">
        <f aca="false">ROUND(D51*E51*'Entity Tuning'!$D$42,0)-(MOD(D51*E51*'Entity Tuning'!$D$42,2)=0.5)</f>
        <v>25</v>
      </c>
      <c r="L51" s="16" t="n">
        <v>0.7</v>
      </c>
      <c r="M51" s="23" t="n">
        <f aca="false">'Game States'!$B$11/L51</f>
        <v>142.857142857143</v>
      </c>
      <c r="N51" s="19" t="s">
        <v>220</v>
      </c>
      <c r="O51" s="11" t="n">
        <v>4</v>
      </c>
      <c r="P51" s="11" t="n">
        <v>0</v>
      </c>
      <c r="Q51" s="11" t="n">
        <v>5</v>
      </c>
      <c r="R51" s="11" t="n">
        <v>0</v>
      </c>
      <c r="S51" s="11" t="n">
        <v>6</v>
      </c>
      <c r="T51" s="11" t="n">
        <v>0</v>
      </c>
      <c r="U51" s="11" t="n">
        <v>4</v>
      </c>
      <c r="V51" s="11" t="n">
        <v>6</v>
      </c>
    </row>
    <row r="52" customFormat="false" ht="15" hidden="false" customHeight="false" outlineLevel="0" collapsed="false">
      <c r="A52" s="13" t="s">
        <v>221</v>
      </c>
      <c r="B52" s="21" t="s">
        <v>218</v>
      </c>
      <c r="C52" s="21" t="s">
        <v>222</v>
      </c>
      <c r="D52" s="14" t="n">
        <f aca="false">ROUND(AVERAGEIF(O52:V52,"&gt;0"),0)</f>
        <v>5</v>
      </c>
      <c r="E52" s="17" t="n">
        <f aca="false">'Entity Tuning'!$B$37</f>
        <v>2.1</v>
      </c>
      <c r="F52" s="14" t="n">
        <f aca="false">ROUND(D52*E52*'Entity Tuning'!$B$41,0)-(MOD(D52*E52*'Entity Tuning'!$B$41,2)=0.5)</f>
        <v>8</v>
      </c>
      <c r="G52" s="14" t="n">
        <f aca="false">ROUND(D52*E52*'Entity Tuning'!$C$41,0)-(MOD(D52*E52*'Entity Tuning'!$C$41,2)=0.5)</f>
        <v>13</v>
      </c>
      <c r="H52" s="14" t="n">
        <f aca="false">ROUND(D52*E52*'Entity Tuning'!$D$41,0)-(MOD(D52*E52*'Entity Tuning'!$D$41,2)=0.5)</f>
        <v>22</v>
      </c>
      <c r="I52" s="14" t="n">
        <f aca="false">ROUND(D52*E52*'Entity Tuning'!$B$42,0)-(MOD(D52*E52*'Entity Tuning'!$B$42,2)=0.5)</f>
        <v>10</v>
      </c>
      <c r="J52" s="14" t="n">
        <f aca="false">ROUND(D52*E52*'Entity Tuning'!$C$42,0)-(MOD(D52*E52*'Entity Tuning'!$C$42,2)=0.5)</f>
        <v>17</v>
      </c>
      <c r="K52" s="14" t="n">
        <f aca="false">ROUND(D52*E52*'Entity Tuning'!$D$42,0)-(MOD(D52*E52*'Entity Tuning'!$D$42,2)=0.5)</f>
        <v>25</v>
      </c>
      <c r="L52" s="17" t="n">
        <v>0.7</v>
      </c>
      <c r="M52" s="24" t="n">
        <f aca="false">'Game States'!$B$11/L52</f>
        <v>142.857142857143</v>
      </c>
      <c r="N52" s="21" t="s">
        <v>223</v>
      </c>
      <c r="O52" s="14" t="n">
        <v>5</v>
      </c>
      <c r="P52" s="14" t="n">
        <v>5</v>
      </c>
      <c r="Q52" s="14" t="n">
        <v>5</v>
      </c>
      <c r="R52" s="14" t="n">
        <v>5</v>
      </c>
      <c r="S52" s="14" t="n">
        <v>5</v>
      </c>
      <c r="T52" s="14" t="n">
        <v>5</v>
      </c>
      <c r="U52" s="14" t="n">
        <v>5</v>
      </c>
      <c r="V52" s="14" t="n">
        <v>5</v>
      </c>
    </row>
    <row r="53" customFormat="false" ht="15" hidden="false" customHeight="false" outlineLevel="0" collapsed="false">
      <c r="A53" s="10" t="s">
        <v>224</v>
      </c>
      <c r="B53" s="19" t="s">
        <v>225</v>
      </c>
      <c r="C53" s="19" t="s">
        <v>226</v>
      </c>
      <c r="D53" s="11" t="n">
        <f aca="false">ROUND(AVERAGEIF(O53:V53,"&gt;0"),0)</f>
        <v>6</v>
      </c>
      <c r="E53" s="16" t="n">
        <f aca="false">'Entity Tuning'!$B$38</f>
        <v>2.7</v>
      </c>
      <c r="F53" s="11" t="n">
        <f aca="false">ROUND(D53*E53*'Entity Tuning'!$B$41,0)-(MOD(D53*E53*'Entity Tuning'!$B$41,2)=0.5)</f>
        <v>13</v>
      </c>
      <c r="G53" s="11" t="n">
        <f aca="false">ROUND(D53*E53*'Entity Tuning'!$C$41,0)-(MOD(D53*E53*'Entity Tuning'!$C$41,2)=0.5)</f>
        <v>20</v>
      </c>
      <c r="H53" s="11" t="n">
        <f aca="false">ROUND(D53*E53*'Entity Tuning'!$D$41,0)-(MOD(D53*E53*'Entity Tuning'!$D$41,2)=0.5)</f>
        <v>34</v>
      </c>
      <c r="I53" s="11" t="n">
        <f aca="false">ROUND(D53*E53*'Entity Tuning'!$B$42,0)-(MOD(D53*E53*'Entity Tuning'!$B$42,2)=0.5)</f>
        <v>16</v>
      </c>
      <c r="J53" s="11" t="n">
        <f aca="false">ROUND(D53*E53*'Entity Tuning'!$C$42,0)-(MOD(D53*E53*'Entity Tuning'!$C$42,2)=0.5)</f>
        <v>27</v>
      </c>
      <c r="K53" s="11" t="n">
        <f aca="false">ROUND(D53*E53*'Entity Tuning'!$D$42,0)-(MOD(D53*E53*'Entity Tuning'!$D$42,2)=0.5)</f>
        <v>39</v>
      </c>
      <c r="L53" s="16" t="n">
        <v>0.6</v>
      </c>
      <c r="M53" s="23" t="n">
        <f aca="false">'Game States'!$B$11/L53</f>
        <v>166.666666666667</v>
      </c>
      <c r="N53" s="19" t="s">
        <v>227</v>
      </c>
      <c r="O53" s="11" t="n">
        <v>6</v>
      </c>
      <c r="P53" s="11" t="n">
        <v>0</v>
      </c>
      <c r="Q53" s="11" t="n">
        <v>4</v>
      </c>
      <c r="R53" s="11" t="n">
        <v>0</v>
      </c>
      <c r="S53" s="11" t="n">
        <v>8</v>
      </c>
      <c r="T53" s="11" t="n">
        <v>0</v>
      </c>
      <c r="U53" s="11" t="n">
        <v>4</v>
      </c>
      <c r="V53" s="11" t="n">
        <v>9</v>
      </c>
    </row>
    <row r="54" customFormat="false" ht="15" hidden="false" customHeight="false" outlineLevel="0" collapsed="false">
      <c r="A54" s="13" t="s">
        <v>228</v>
      </c>
      <c r="B54" s="21" t="s">
        <v>225</v>
      </c>
      <c r="C54" s="21" t="s">
        <v>229</v>
      </c>
      <c r="D54" s="14" t="n">
        <f aca="false">ROUND(AVERAGEIF(O54:V54,"&gt;0"),0)</f>
        <v>4</v>
      </c>
      <c r="E54" s="17" t="n">
        <f aca="false">'Entity Tuning'!$B$38</f>
        <v>2.7</v>
      </c>
      <c r="F54" s="14" t="n">
        <f aca="false">ROUND(D54*E54*'Entity Tuning'!$B$41,0)-(MOD(D54*E54*'Entity Tuning'!$B$41,2)=0.5)</f>
        <v>9</v>
      </c>
      <c r="G54" s="14" t="n">
        <f aca="false">ROUND(D54*E54*'Entity Tuning'!$C$41,0)-(MOD(D54*E54*'Entity Tuning'!$C$41,2)=0.5)</f>
        <v>14</v>
      </c>
      <c r="H54" s="14" t="n">
        <f aca="false">ROUND(D54*E54*'Entity Tuning'!$D$41,0)-(MOD(D54*E54*'Entity Tuning'!$D$41,2)=0.5)</f>
        <v>23</v>
      </c>
      <c r="I54" s="14" t="n">
        <f aca="false">ROUND(D54*E54*'Entity Tuning'!$B$42,0)-(MOD(D54*E54*'Entity Tuning'!$B$42,2)=0.5)</f>
        <v>11</v>
      </c>
      <c r="J54" s="14" t="n">
        <f aca="false">ROUND(D54*E54*'Entity Tuning'!$C$42,0)-(MOD(D54*E54*'Entity Tuning'!$C$42,2)=0.5)</f>
        <v>18</v>
      </c>
      <c r="K54" s="14" t="n">
        <f aca="false">ROUND(D54*E54*'Entity Tuning'!$D$42,0)-(MOD(D54*E54*'Entity Tuning'!$D$42,2)=0.5)</f>
        <v>26</v>
      </c>
      <c r="L54" s="17" t="n">
        <v>0.6</v>
      </c>
      <c r="M54" s="24" t="n">
        <f aca="false">'Game States'!$B$11/L54</f>
        <v>166.666666666667</v>
      </c>
      <c r="N54" s="21" t="s">
        <v>230</v>
      </c>
      <c r="O54" s="14" t="n">
        <v>3</v>
      </c>
      <c r="P54" s="14" t="n">
        <v>0</v>
      </c>
      <c r="Q54" s="14" t="n">
        <v>3</v>
      </c>
      <c r="R54" s="14" t="n">
        <v>5</v>
      </c>
      <c r="S54" s="14" t="n">
        <v>0</v>
      </c>
      <c r="T54" s="14" t="n">
        <v>3</v>
      </c>
      <c r="U54" s="14" t="n">
        <v>2</v>
      </c>
      <c r="V54" s="14" t="n">
        <v>7</v>
      </c>
    </row>
    <row r="55" customFormat="false" ht="15" hidden="false" customHeight="false" outlineLevel="0" collapsed="false">
      <c r="A55" s="10" t="s">
        <v>231</v>
      </c>
      <c r="B55" s="19" t="s">
        <v>225</v>
      </c>
      <c r="C55" s="19" t="s">
        <v>232</v>
      </c>
      <c r="D55" s="11" t="n">
        <f aca="false">MAX(O55:V55)</f>
        <v>9</v>
      </c>
      <c r="E55" s="16" t="n">
        <f aca="false">'Entity Tuning'!$B$38</f>
        <v>2.7</v>
      </c>
      <c r="F55" s="11" t="n">
        <f aca="false">ROUND(D55*E55*'Entity Tuning'!$B$41,0)-(MOD(D55*E55*'Entity Tuning'!$B$41,2)=0.5)</f>
        <v>19</v>
      </c>
      <c r="G55" s="11" t="n">
        <f aca="false">ROUND(D55*E55*'Entity Tuning'!$C$41,0)-(MOD(D55*E55*'Entity Tuning'!$C$41,2)=0.5)</f>
        <v>30</v>
      </c>
      <c r="H55" s="11" t="n">
        <f aca="false">ROUND(D55*E55*'Entity Tuning'!$D$41,0)-(MOD(D55*E55*'Entity Tuning'!$D$41,2)=0.5)</f>
        <v>51</v>
      </c>
      <c r="I55" s="11" t="n">
        <f aca="false">ROUND(D55*E55*'Entity Tuning'!$B$42,0)-(MOD(D55*E55*'Entity Tuning'!$B$42,2)=0.5)</f>
        <v>24</v>
      </c>
      <c r="J55" s="11" t="n">
        <f aca="false">ROUND(D55*E55*'Entity Tuning'!$C$42,0)-(MOD(D55*E55*'Entity Tuning'!$C$42,2)=0.5)</f>
        <v>40</v>
      </c>
      <c r="K55" s="11" t="n">
        <f aca="false">ROUND(D55*E55*'Entity Tuning'!$D$42,0)-(MOD(D55*E55*'Entity Tuning'!$D$42,2)=0.5)</f>
        <v>58</v>
      </c>
      <c r="L55" s="16" t="n">
        <v>0.6</v>
      </c>
      <c r="M55" s="23" t="n">
        <f aca="false">'Game States'!$B$11/L55</f>
        <v>166.666666666667</v>
      </c>
      <c r="N55" s="19" t="s">
        <v>233</v>
      </c>
      <c r="O55" s="11" t="n">
        <v>7</v>
      </c>
      <c r="P55" s="11" t="n">
        <v>0</v>
      </c>
      <c r="Q55" s="11" t="n">
        <v>7</v>
      </c>
      <c r="R55" s="11" t="n">
        <v>0</v>
      </c>
      <c r="S55" s="11" t="n">
        <v>0</v>
      </c>
      <c r="T55" s="11" t="n">
        <v>9</v>
      </c>
      <c r="U55" s="11" t="n">
        <v>0</v>
      </c>
      <c r="V55" s="11" t="n">
        <v>9</v>
      </c>
    </row>
    <row r="57" customFormat="false" ht="21" hidden="false" customHeight="true" outlineLevel="0" collapsed="false">
      <c r="A57" s="7" t="s">
        <v>234</v>
      </c>
      <c r="B57" s="7"/>
      <c r="C57" s="7"/>
      <c r="D57" s="7"/>
    </row>
    <row r="58" customFormat="false" ht="18.75" hidden="false" customHeight="true" outlineLevel="0" collapsed="false">
      <c r="A58" s="18" t="s">
        <v>235</v>
      </c>
      <c r="B58" s="18"/>
      <c r="C58" s="18"/>
      <c r="D58" s="18"/>
    </row>
    <row r="59" customFormat="false" ht="15" hidden="false" customHeight="false" outlineLevel="0" collapsed="false">
      <c r="A59" s="8" t="s">
        <v>0</v>
      </c>
      <c r="B59" s="9" t="s">
        <v>1</v>
      </c>
      <c r="C59" s="9" t="s">
        <v>68</v>
      </c>
      <c r="D59" s="9" t="s">
        <v>3</v>
      </c>
    </row>
    <row r="60" customFormat="false" ht="15" hidden="false" customHeight="false" outlineLevel="0" collapsed="false">
      <c r="A60" s="10" t="s">
        <v>236</v>
      </c>
      <c r="B60" s="11" t="n">
        <f aca="false">'Game States'!$B$11</f>
        <v>100</v>
      </c>
      <c r="C60" s="12" t="s">
        <v>30</v>
      </c>
      <c r="D60" s="12" t="s">
        <v>237</v>
      </c>
    </row>
    <row r="61" customFormat="false" ht="15" hidden="false" customHeight="false" outlineLevel="0" collapsed="false">
      <c r="A61" s="13" t="s">
        <v>238</v>
      </c>
      <c r="B61" s="17" t="n">
        <v>1</v>
      </c>
      <c r="C61" s="15" t="s">
        <v>239</v>
      </c>
      <c r="D61" s="15" t="s">
        <v>240</v>
      </c>
    </row>
    <row r="62" customFormat="false" ht="15" hidden="false" customHeight="false" outlineLevel="0" collapsed="false">
      <c r="A62" s="10" t="s">
        <v>241</v>
      </c>
      <c r="B62" s="11" t="n">
        <v>8</v>
      </c>
      <c r="C62" s="12" t="s">
        <v>242</v>
      </c>
      <c r="D62" s="12" t="s">
        <v>243</v>
      </c>
    </row>
    <row r="63" customFormat="false" ht="15" hidden="false" customHeight="false" outlineLevel="0" collapsed="false">
      <c r="A63" s="13" t="s">
        <v>244</v>
      </c>
      <c r="B63" s="17" t="n">
        <v>0.7</v>
      </c>
      <c r="C63" s="15" t="s">
        <v>245</v>
      </c>
      <c r="D63" s="15" t="s">
        <v>246</v>
      </c>
    </row>
    <row r="64" customFormat="false" ht="15" hidden="false" customHeight="false" outlineLevel="0" collapsed="false">
      <c r="A64" s="10" t="s">
        <v>247</v>
      </c>
      <c r="B64" s="16" t="n">
        <v>0.6</v>
      </c>
      <c r="C64" s="12" t="s">
        <v>248</v>
      </c>
      <c r="D64" s="12" t="s">
        <v>249</v>
      </c>
    </row>
    <row r="65" customFormat="false" ht="15" hidden="false" customHeight="false" outlineLevel="0" collapsed="false">
      <c r="A65" s="13" t="s">
        <v>250</v>
      </c>
      <c r="B65" s="14" t="n">
        <v>80</v>
      </c>
      <c r="C65" s="15" t="s">
        <v>251</v>
      </c>
      <c r="D65" s="15" t="s">
        <v>252</v>
      </c>
    </row>
    <row r="66" customFormat="false" ht="15" hidden="false" customHeight="false" outlineLevel="0" collapsed="false">
      <c r="A66" s="10" t="s">
        <v>253</v>
      </c>
      <c r="B66" s="11" t="n">
        <v>12</v>
      </c>
      <c r="C66" s="12" t="s">
        <v>254</v>
      </c>
      <c r="D66" s="12" t="s">
        <v>255</v>
      </c>
    </row>
    <row r="68" customFormat="false" ht="21" hidden="false" customHeight="true" outlineLevel="0" collapsed="false">
      <c r="A68" s="7" t="s">
        <v>256</v>
      </c>
      <c r="B68" s="7"/>
      <c r="C68" s="7"/>
      <c r="D68" s="7"/>
      <c r="E68" s="7"/>
    </row>
    <row r="69" customFormat="false" ht="15" hidden="false" customHeight="false" outlineLevel="0" collapsed="false">
      <c r="A69" s="8" t="s">
        <v>0</v>
      </c>
      <c r="B69" s="9" t="s">
        <v>179</v>
      </c>
      <c r="C69" s="9" t="s">
        <v>180</v>
      </c>
      <c r="D69" s="9" t="s">
        <v>68</v>
      </c>
      <c r="E69" s="9" t="s">
        <v>3</v>
      </c>
    </row>
    <row r="70" customFormat="false" ht="15" hidden="false" customHeight="false" outlineLevel="0" collapsed="false">
      <c r="A70" s="10" t="s">
        <v>257</v>
      </c>
      <c r="B70" s="11" t="n">
        <v>100</v>
      </c>
      <c r="C70" s="11" t="n">
        <v>80</v>
      </c>
      <c r="D70" s="12" t="s">
        <v>258</v>
      </c>
      <c r="E70" s="12" t="s">
        <v>259</v>
      </c>
    </row>
    <row r="71" customFormat="false" ht="15" hidden="false" customHeight="false" outlineLevel="0" collapsed="false">
      <c r="A71" s="13" t="s">
        <v>260</v>
      </c>
      <c r="B71" s="14" t="n">
        <v>220</v>
      </c>
      <c r="C71" s="14" t="n">
        <v>180</v>
      </c>
      <c r="D71" s="15" t="s">
        <v>261</v>
      </c>
      <c r="E71" s="15"/>
    </row>
    <row r="72" customFormat="false" ht="15" hidden="false" customHeight="false" outlineLevel="0" collapsed="false">
      <c r="A72" s="10" t="s">
        <v>262</v>
      </c>
      <c r="B72" s="11" t="n">
        <v>240</v>
      </c>
      <c r="C72" s="11" t="n">
        <v>240</v>
      </c>
      <c r="D72" s="12" t="s">
        <v>263</v>
      </c>
      <c r="E72" s="12" t="s">
        <v>264</v>
      </c>
    </row>
    <row r="73" customFormat="false" ht="15" hidden="false" customHeight="false" outlineLevel="0" collapsed="false">
      <c r="A73" s="13" t="s">
        <v>265</v>
      </c>
      <c r="B73" s="14" t="n">
        <v>350</v>
      </c>
      <c r="C73" s="14" t="n">
        <v>350</v>
      </c>
      <c r="D73" s="15" t="s">
        <v>266</v>
      </c>
      <c r="E73" s="15"/>
    </row>
    <row r="74" customFormat="false" ht="15" hidden="false" customHeight="false" outlineLevel="0" collapsed="false">
      <c r="A74" s="10" t="s">
        <v>267</v>
      </c>
      <c r="B74" s="20" t="n">
        <v>1.3</v>
      </c>
      <c r="C74" s="20" t="n">
        <v>1.3</v>
      </c>
      <c r="D74" s="12" t="s">
        <v>268</v>
      </c>
      <c r="E74" s="12" t="s">
        <v>269</v>
      </c>
    </row>
    <row r="75" customFormat="false" ht="15" hidden="false" customHeight="false" outlineLevel="0" collapsed="false">
      <c r="A75" s="13" t="s">
        <v>270</v>
      </c>
      <c r="B75" s="22" t="n">
        <v>0.45</v>
      </c>
      <c r="C75" s="22" t="n">
        <v>0.45</v>
      </c>
      <c r="D75" s="15" t="s">
        <v>271</v>
      </c>
      <c r="E75" s="15" t="s">
        <v>272</v>
      </c>
    </row>
    <row r="76" customFormat="false" ht="15" hidden="false" customHeight="false" outlineLevel="0" collapsed="false">
      <c r="A76" s="10" t="s">
        <v>273</v>
      </c>
      <c r="B76" s="11" t="n">
        <v>4</v>
      </c>
      <c r="C76" s="11" t="n">
        <v>4</v>
      </c>
      <c r="D76" s="12" t="s">
        <v>274</v>
      </c>
      <c r="E76" s="12" t="s">
        <v>275</v>
      </c>
    </row>
    <row r="77" customFormat="false" ht="15" hidden="false" customHeight="false" outlineLevel="0" collapsed="false">
      <c r="A77" s="13" t="s">
        <v>276</v>
      </c>
      <c r="B77" s="25" t="n">
        <v>0.5</v>
      </c>
      <c r="C77" s="25" t="n">
        <v>0.3</v>
      </c>
      <c r="D77" s="15" t="s">
        <v>277</v>
      </c>
      <c r="E77" s="15" t="s">
        <v>278</v>
      </c>
    </row>
    <row r="78" customFormat="false" ht="15" hidden="false" customHeight="false" outlineLevel="0" collapsed="false">
      <c r="A78" s="10" t="s">
        <v>279</v>
      </c>
      <c r="B78" s="11" t="n">
        <v>34</v>
      </c>
      <c r="C78" s="11" t="n">
        <v>34</v>
      </c>
      <c r="D78" s="12" t="s">
        <v>280</v>
      </c>
      <c r="E78" s="12" t="s">
        <v>281</v>
      </c>
    </row>
    <row r="79" customFormat="false" ht="15" hidden="false" customHeight="false" outlineLevel="0" collapsed="false">
      <c r="A79" s="13" t="s">
        <v>282</v>
      </c>
      <c r="B79" s="14" t="n">
        <v>100</v>
      </c>
      <c r="C79" s="14" t="n">
        <v>100</v>
      </c>
      <c r="D79" s="15" t="s">
        <v>283</v>
      </c>
      <c r="E79" s="15" t="s">
        <v>284</v>
      </c>
    </row>
    <row r="80" customFormat="false" ht="15" hidden="false" customHeight="false" outlineLevel="0" collapsed="false">
      <c r="A80" s="10" t="s">
        <v>285</v>
      </c>
      <c r="B80" s="11" t="n">
        <v>240</v>
      </c>
      <c r="C80" s="11" t="n">
        <v>240</v>
      </c>
      <c r="D80" s="12" t="s">
        <v>286</v>
      </c>
      <c r="E80" s="12"/>
    </row>
    <row r="81" customFormat="false" ht="15" hidden="false" customHeight="false" outlineLevel="0" collapsed="false">
      <c r="A81" s="13" t="s">
        <v>287</v>
      </c>
      <c r="B81" s="24" t="n">
        <v>0.6</v>
      </c>
      <c r="C81" s="24" t="n">
        <v>0.6</v>
      </c>
      <c r="D81" s="15" t="s">
        <v>288</v>
      </c>
      <c r="E81" s="15"/>
    </row>
  </sheetData>
  <mergeCells count="13">
    <mergeCell ref="A1:V1"/>
    <mergeCell ref="A3:D3"/>
    <mergeCell ref="A10:L10"/>
    <mergeCell ref="A11:L11"/>
    <mergeCell ref="A19:H19"/>
    <mergeCell ref="A20:H20"/>
    <mergeCell ref="A33:D33"/>
    <mergeCell ref="A34:D34"/>
    <mergeCell ref="A44:V44"/>
    <mergeCell ref="A45:V45"/>
    <mergeCell ref="A57:D57"/>
    <mergeCell ref="A58:D58"/>
    <mergeCell ref="A68:E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64"/>
    <col collapsed="false" customWidth="true" hidden="false" outlineLevel="0" max="7" min="6" style="0" width="12"/>
  </cols>
  <sheetData>
    <row r="1" customFormat="false" ht="21" hidden="false" customHeight="true" outlineLevel="0" collapsed="false">
      <c r="A1" s="7" t="s">
        <v>289</v>
      </c>
      <c r="B1" s="7"/>
      <c r="C1" s="7"/>
      <c r="D1" s="7"/>
      <c r="E1" s="7"/>
    </row>
    <row r="2" customFormat="false" ht="15" hidden="false" customHeight="false" outlineLevel="0" collapsed="false">
      <c r="A2" s="8" t="s">
        <v>0</v>
      </c>
      <c r="B2" s="9" t="s">
        <v>1</v>
      </c>
      <c r="C2" s="9" t="s">
        <v>290</v>
      </c>
      <c r="D2" s="9" t="s">
        <v>68</v>
      </c>
      <c r="E2" s="9" t="s">
        <v>3</v>
      </c>
    </row>
    <row r="3" customFormat="false" ht="15" hidden="false" customHeight="false" outlineLevel="0" collapsed="false">
      <c r="A3" s="10" t="s">
        <v>291</v>
      </c>
      <c r="B3" s="20" t="n">
        <v>1.5</v>
      </c>
      <c r="C3" s="12" t="s">
        <v>292</v>
      </c>
      <c r="D3" s="12" t="s">
        <v>293</v>
      </c>
      <c r="E3" s="12" t="s">
        <v>294</v>
      </c>
    </row>
    <row r="4" customFormat="false" ht="15" hidden="false" customHeight="false" outlineLevel="0" collapsed="false">
      <c r="A4" s="13" t="s">
        <v>295</v>
      </c>
      <c r="B4" s="25" t="n">
        <v>0.15</v>
      </c>
      <c r="C4" s="15" t="s">
        <v>292</v>
      </c>
      <c r="D4" s="15" t="s">
        <v>296</v>
      </c>
      <c r="E4" s="15" t="s">
        <v>297</v>
      </c>
    </row>
    <row r="5" customFormat="false" ht="15" hidden="false" customHeight="false" outlineLevel="0" collapsed="false">
      <c r="A5" s="10" t="s">
        <v>298</v>
      </c>
      <c r="B5" s="11" t="n">
        <v>5</v>
      </c>
      <c r="C5" s="12" t="s">
        <v>292</v>
      </c>
      <c r="D5" s="12" t="s">
        <v>299</v>
      </c>
      <c r="E5" s="12" t="s">
        <v>300</v>
      </c>
    </row>
    <row r="6" customFormat="false" ht="15" hidden="false" customHeight="false" outlineLevel="0" collapsed="false">
      <c r="A6" s="13" t="s">
        <v>301</v>
      </c>
      <c r="B6" s="25" t="n">
        <v>0.1</v>
      </c>
      <c r="C6" s="15" t="s">
        <v>292</v>
      </c>
      <c r="D6" s="15" t="s">
        <v>302</v>
      </c>
      <c r="E6" s="15" t="s">
        <v>303</v>
      </c>
    </row>
    <row r="7" customFormat="false" ht="15" hidden="false" customHeight="false" outlineLevel="0" collapsed="false">
      <c r="A7" s="10" t="s">
        <v>304</v>
      </c>
      <c r="B7" s="26" t="n">
        <v>0.25</v>
      </c>
      <c r="C7" s="12" t="s">
        <v>292</v>
      </c>
      <c r="D7" s="12" t="s">
        <v>305</v>
      </c>
      <c r="E7" s="12"/>
    </row>
    <row r="8" customFormat="false" ht="15" hidden="false" customHeight="false" outlineLevel="0" collapsed="false">
      <c r="A8" s="13" t="s">
        <v>306</v>
      </c>
      <c r="B8" s="25" t="n">
        <v>0.06</v>
      </c>
      <c r="C8" s="15" t="s">
        <v>292</v>
      </c>
      <c r="D8" s="15" t="s">
        <v>307</v>
      </c>
      <c r="E8" s="15" t="s">
        <v>308</v>
      </c>
    </row>
    <row r="9" customFormat="false" ht="15" hidden="false" customHeight="false" outlineLevel="0" collapsed="false">
      <c r="A9" s="10" t="s">
        <v>309</v>
      </c>
      <c r="B9" s="11" t="n">
        <v>5</v>
      </c>
      <c r="C9" s="12" t="s">
        <v>292</v>
      </c>
      <c r="D9" s="12" t="s">
        <v>310</v>
      </c>
      <c r="E9" s="12" t="s">
        <v>311</v>
      </c>
    </row>
    <row r="10" customFormat="false" ht="15" hidden="false" customHeight="false" outlineLevel="0" collapsed="false">
      <c r="A10" s="13" t="s">
        <v>312</v>
      </c>
      <c r="B10" s="14" t="n">
        <v>8</v>
      </c>
      <c r="C10" s="15" t="s">
        <v>292</v>
      </c>
      <c r="D10" s="15" t="s">
        <v>313</v>
      </c>
      <c r="E10" s="15"/>
    </row>
    <row r="11" customFormat="false" ht="15" hidden="false" customHeight="false" outlineLevel="0" collapsed="false">
      <c r="A11" s="10" t="s">
        <v>314</v>
      </c>
      <c r="B11" s="11" t="n">
        <v>4</v>
      </c>
      <c r="C11" s="12" t="s">
        <v>292</v>
      </c>
      <c r="D11" s="12" t="s">
        <v>315</v>
      </c>
      <c r="E11" s="12"/>
    </row>
    <row r="12" customFormat="false" ht="15" hidden="false" customHeight="false" outlineLevel="0" collapsed="false">
      <c r="A12" s="13" t="s">
        <v>316</v>
      </c>
      <c r="B12" s="22" t="n">
        <v>1.3</v>
      </c>
      <c r="C12" s="15" t="s">
        <v>292</v>
      </c>
      <c r="D12" s="15" t="s">
        <v>317</v>
      </c>
      <c r="E12" s="15"/>
    </row>
    <row r="13" customFormat="false" ht="15" hidden="false" customHeight="false" outlineLevel="0" collapsed="false">
      <c r="A13" s="10" t="s">
        <v>318</v>
      </c>
      <c r="B13" s="26" t="n">
        <v>0.6</v>
      </c>
      <c r="C13" s="12" t="s">
        <v>319</v>
      </c>
      <c r="D13" s="12" t="s">
        <v>320</v>
      </c>
      <c r="E13" s="12" t="s">
        <v>321</v>
      </c>
    </row>
    <row r="14" customFormat="false" ht="15" hidden="false" customHeight="false" outlineLevel="0" collapsed="false">
      <c r="A14" s="13" t="s">
        <v>322</v>
      </c>
      <c r="B14" s="25" t="n">
        <v>0.7</v>
      </c>
      <c r="C14" s="15" t="s">
        <v>319</v>
      </c>
      <c r="D14" s="15" t="s">
        <v>323</v>
      </c>
      <c r="E14" s="15" t="s">
        <v>324</v>
      </c>
    </row>
    <row r="15" customFormat="false" ht="15" hidden="false" customHeight="false" outlineLevel="0" collapsed="false">
      <c r="A15" s="10" t="s">
        <v>325</v>
      </c>
      <c r="B15" s="20" t="n">
        <v>2</v>
      </c>
      <c r="C15" s="12" t="s">
        <v>319</v>
      </c>
      <c r="D15" s="12" t="s">
        <v>326</v>
      </c>
      <c r="E15" s="12" t="s">
        <v>327</v>
      </c>
    </row>
    <row r="16" customFormat="false" ht="15" hidden="false" customHeight="false" outlineLevel="0" collapsed="false">
      <c r="A16" s="13" t="s">
        <v>328</v>
      </c>
      <c r="B16" s="22" t="n">
        <v>0.5</v>
      </c>
      <c r="C16" s="15" t="s">
        <v>319</v>
      </c>
      <c r="D16" s="15" t="s">
        <v>329</v>
      </c>
      <c r="E16" s="15" t="s">
        <v>330</v>
      </c>
    </row>
    <row r="17" customFormat="false" ht="15" hidden="false" customHeight="false" outlineLevel="0" collapsed="false">
      <c r="A17" s="10" t="s">
        <v>331</v>
      </c>
      <c r="B17" s="16" t="n">
        <v>0.95</v>
      </c>
      <c r="C17" s="12" t="s">
        <v>332</v>
      </c>
      <c r="D17" s="12" t="s">
        <v>333</v>
      </c>
      <c r="E17" s="12" t="s">
        <v>334</v>
      </c>
    </row>
    <row r="18" customFormat="false" ht="15" hidden="false" customHeight="false" outlineLevel="0" collapsed="false">
      <c r="A18" s="13" t="s">
        <v>335</v>
      </c>
      <c r="B18" s="14" t="n">
        <v>12</v>
      </c>
      <c r="C18" s="15" t="s">
        <v>332</v>
      </c>
      <c r="D18" s="15" t="s">
        <v>336</v>
      </c>
      <c r="E18" s="15" t="s">
        <v>337</v>
      </c>
    </row>
    <row r="20" customFormat="false" ht="21" hidden="false" customHeight="true" outlineLevel="0" collapsed="false">
      <c r="A20" s="7" t="s">
        <v>338</v>
      </c>
      <c r="B20" s="7"/>
      <c r="C20" s="7"/>
      <c r="D20" s="7"/>
      <c r="E20" s="7"/>
    </row>
    <row r="21" customFormat="false" ht="15" hidden="false" customHeight="false" outlineLevel="0" collapsed="false">
      <c r="A21" s="8" t="s">
        <v>0</v>
      </c>
      <c r="B21" s="9" t="s">
        <v>179</v>
      </c>
      <c r="C21" s="9" t="s">
        <v>180</v>
      </c>
      <c r="D21" s="9" t="s">
        <v>68</v>
      </c>
      <c r="E21" s="9" t="s">
        <v>3</v>
      </c>
    </row>
    <row r="22" customFormat="false" ht="15" hidden="false" customHeight="false" outlineLevel="0" collapsed="false">
      <c r="A22" s="10" t="s">
        <v>339</v>
      </c>
      <c r="B22" s="11" t="n">
        <v>2</v>
      </c>
      <c r="C22" s="11" t="n">
        <v>2</v>
      </c>
      <c r="D22" s="12" t="s">
        <v>340</v>
      </c>
      <c r="E22" s="12" t="s">
        <v>341</v>
      </c>
    </row>
    <row r="23" customFormat="false" ht="15" hidden="false" customHeight="false" outlineLevel="0" collapsed="false">
      <c r="A23" s="13" t="s">
        <v>342</v>
      </c>
      <c r="B23" s="22" t="n">
        <v>1.5</v>
      </c>
      <c r="C23" s="22" t="n">
        <v>1.5</v>
      </c>
      <c r="D23" s="15" t="s">
        <v>343</v>
      </c>
      <c r="E23" s="15"/>
    </row>
    <row r="24" customFormat="false" ht="15" hidden="false" customHeight="false" outlineLevel="0" collapsed="false">
      <c r="A24" s="10" t="s">
        <v>344</v>
      </c>
      <c r="B24" s="26" t="n">
        <v>0.4</v>
      </c>
      <c r="C24" s="26" t="n">
        <v>0.4</v>
      </c>
      <c r="D24" s="12" t="s">
        <v>345</v>
      </c>
      <c r="E24" s="12"/>
    </row>
    <row r="25" customFormat="false" ht="15" hidden="false" customHeight="false" outlineLevel="0" collapsed="false">
      <c r="A25" s="13" t="s">
        <v>346</v>
      </c>
      <c r="B25" s="25" t="n">
        <v>0.15</v>
      </c>
      <c r="C25" s="25" t="n">
        <v>0.15</v>
      </c>
      <c r="D25" s="15" t="s">
        <v>347</v>
      </c>
      <c r="E25" s="15"/>
    </row>
    <row r="26" customFormat="false" ht="15" hidden="false" customHeight="false" outlineLevel="0" collapsed="false">
      <c r="A26" s="10" t="s">
        <v>348</v>
      </c>
      <c r="B26" s="11" t="n">
        <v>10</v>
      </c>
      <c r="C26" s="11" t="n">
        <v>10</v>
      </c>
      <c r="D26" s="12" t="s">
        <v>349</v>
      </c>
      <c r="E26" s="12"/>
    </row>
    <row r="27" customFormat="false" ht="15" hidden="false" customHeight="false" outlineLevel="0" collapsed="false">
      <c r="A27" s="13" t="s">
        <v>350</v>
      </c>
      <c r="B27" s="14" t="n">
        <v>5</v>
      </c>
      <c r="C27" s="14" t="n">
        <v>6</v>
      </c>
      <c r="D27" s="15" t="s">
        <v>351</v>
      </c>
      <c r="E27" s="15"/>
    </row>
    <row r="28" customFormat="false" ht="15" hidden="false" customHeight="false" outlineLevel="0" collapsed="false">
      <c r="A28" s="10" t="s">
        <v>352</v>
      </c>
      <c r="B28" s="11" t="n">
        <v>3</v>
      </c>
      <c r="C28" s="11" t="n">
        <v>4</v>
      </c>
      <c r="D28" s="12" t="s">
        <v>353</v>
      </c>
      <c r="E28" s="12"/>
    </row>
    <row r="29" customFormat="false" ht="15" hidden="false" customHeight="false" outlineLevel="0" collapsed="false">
      <c r="A29" s="13" t="s">
        <v>354</v>
      </c>
      <c r="B29" s="14" t="n">
        <v>2</v>
      </c>
      <c r="C29" s="14" t="n">
        <v>2</v>
      </c>
      <c r="D29" s="15" t="s">
        <v>355</v>
      </c>
      <c r="E29" s="15" t="s">
        <v>356</v>
      </c>
    </row>
    <row r="30" customFormat="false" ht="15" hidden="false" customHeight="false" outlineLevel="0" collapsed="false">
      <c r="A30" s="10" t="s">
        <v>357</v>
      </c>
      <c r="B30" s="20" t="n">
        <v>1.3</v>
      </c>
      <c r="C30" s="20" t="n">
        <v>1.3</v>
      </c>
      <c r="D30" s="12" t="s">
        <v>358</v>
      </c>
      <c r="E30" s="12"/>
    </row>
    <row r="31" customFormat="false" ht="15" hidden="false" customHeight="false" outlineLevel="0" collapsed="false">
      <c r="A31" s="13" t="s">
        <v>359</v>
      </c>
      <c r="B31" s="25" t="n">
        <v>0.6</v>
      </c>
      <c r="C31" s="25" t="n">
        <v>0.6</v>
      </c>
      <c r="D31" s="15" t="s">
        <v>360</v>
      </c>
      <c r="E31" s="15"/>
    </row>
    <row r="32" customFormat="false" ht="15" hidden="false" customHeight="false" outlineLevel="0" collapsed="false">
      <c r="A32" s="10" t="s">
        <v>361</v>
      </c>
      <c r="B32" s="26" t="n">
        <v>0.8</v>
      </c>
      <c r="C32" s="26" t="n">
        <v>0.8</v>
      </c>
      <c r="D32" s="12" t="s">
        <v>362</v>
      </c>
      <c r="E32" s="12" t="s">
        <v>363</v>
      </c>
    </row>
    <row r="33" customFormat="false" ht="15" hidden="false" customHeight="false" outlineLevel="0" collapsed="false">
      <c r="A33" s="13" t="s">
        <v>364</v>
      </c>
      <c r="B33" s="14" t="n">
        <v>260</v>
      </c>
      <c r="C33" s="14" t="n">
        <v>260</v>
      </c>
      <c r="D33" s="15" t="s">
        <v>365</v>
      </c>
      <c r="E33" s="15" t="s">
        <v>366</v>
      </c>
    </row>
    <row r="34" customFormat="false" ht="15" hidden="false" customHeight="false" outlineLevel="0" collapsed="false">
      <c r="A34" s="10" t="s">
        <v>367</v>
      </c>
      <c r="B34" s="19" t="s">
        <v>368</v>
      </c>
      <c r="C34" s="19" t="s">
        <v>368</v>
      </c>
      <c r="D34" s="12" t="s">
        <v>369</v>
      </c>
      <c r="E34" s="12" t="s">
        <v>370</v>
      </c>
    </row>
    <row r="35" customFormat="false" ht="15" hidden="false" customHeight="false" outlineLevel="0" collapsed="false">
      <c r="A35" s="13" t="s">
        <v>371</v>
      </c>
      <c r="B35" s="25" t="n">
        <v>0.5</v>
      </c>
      <c r="C35" s="25" t="n">
        <v>0.5</v>
      </c>
      <c r="D35" s="15" t="s">
        <v>372</v>
      </c>
      <c r="E35" s="15"/>
    </row>
    <row r="36" customFormat="false" ht="15" hidden="false" customHeight="false" outlineLevel="0" collapsed="false">
      <c r="A36" s="10" t="s">
        <v>373</v>
      </c>
      <c r="B36" s="11" t="n">
        <v>25</v>
      </c>
      <c r="C36" s="11" t="n">
        <v>25</v>
      </c>
      <c r="D36" s="12" t="s">
        <v>374</v>
      </c>
      <c r="E36" s="12" t="s">
        <v>375</v>
      </c>
    </row>
    <row r="38" customFormat="false" ht="21" hidden="false" customHeight="true" outlineLevel="0" collapsed="false">
      <c r="A38" s="7" t="s">
        <v>376</v>
      </c>
      <c r="B38" s="7"/>
      <c r="C38" s="7"/>
      <c r="D38" s="7"/>
      <c r="E38" s="7"/>
    </row>
    <row r="39" customFormat="false" ht="18.75" hidden="false" customHeight="true" outlineLevel="0" collapsed="false">
      <c r="A39" s="18" t="s">
        <v>377</v>
      </c>
      <c r="B39" s="18"/>
      <c r="C39" s="18"/>
      <c r="D39" s="18"/>
      <c r="E39" s="18"/>
    </row>
    <row r="40" customFormat="false" ht="15" hidden="false" customHeight="false" outlineLevel="0" collapsed="false">
      <c r="A40" s="8" t="s">
        <v>378</v>
      </c>
      <c r="B40" s="9" t="s">
        <v>1</v>
      </c>
      <c r="C40" s="9" t="s">
        <v>81</v>
      </c>
      <c r="D40" s="9" t="s">
        <v>68</v>
      </c>
      <c r="E40" s="9" t="s">
        <v>379</v>
      </c>
    </row>
    <row r="41" customFormat="false" ht="15" hidden="false" customHeight="false" outlineLevel="0" collapsed="false">
      <c r="A41" s="10" t="s">
        <v>380</v>
      </c>
      <c r="B41" s="19" t="s">
        <v>381</v>
      </c>
      <c r="C41" s="12" t="s">
        <v>93</v>
      </c>
      <c r="D41" s="12" t="s">
        <v>381</v>
      </c>
      <c r="E41" s="12" t="s">
        <v>382</v>
      </c>
    </row>
    <row r="42" customFormat="false" ht="15" hidden="false" customHeight="false" outlineLevel="0" collapsed="false">
      <c r="A42" s="13" t="s">
        <v>383</v>
      </c>
      <c r="B42" s="21" t="s">
        <v>381</v>
      </c>
      <c r="C42" s="15" t="s">
        <v>93</v>
      </c>
      <c r="D42" s="15" t="s">
        <v>381</v>
      </c>
      <c r="E42" s="15" t="s">
        <v>384</v>
      </c>
    </row>
    <row r="43" customFormat="false" ht="15" hidden="false" customHeight="false" outlineLevel="0" collapsed="false">
      <c r="A43" s="10" t="s">
        <v>385</v>
      </c>
      <c r="B43" s="19" t="s">
        <v>381</v>
      </c>
      <c r="C43" s="12" t="s">
        <v>98</v>
      </c>
      <c r="D43" s="12" t="s">
        <v>381</v>
      </c>
      <c r="E43" s="12" t="s">
        <v>386</v>
      </c>
    </row>
    <row r="44" customFormat="false" ht="15" hidden="false" customHeight="false" outlineLevel="0" collapsed="false">
      <c r="A44" s="13" t="s">
        <v>387</v>
      </c>
      <c r="B44" s="21" t="s">
        <v>381</v>
      </c>
      <c r="C44" s="15" t="s">
        <v>98</v>
      </c>
      <c r="D44" s="15" t="s">
        <v>381</v>
      </c>
      <c r="E44" s="15" t="s">
        <v>388</v>
      </c>
    </row>
    <row r="45" customFormat="false" ht="15" hidden="false" customHeight="false" outlineLevel="0" collapsed="false">
      <c r="A45" s="10" t="s">
        <v>389</v>
      </c>
      <c r="B45" s="20" t="n">
        <v>1.3</v>
      </c>
      <c r="C45" s="12" t="s">
        <v>103</v>
      </c>
      <c r="D45" s="12" t="s">
        <v>390</v>
      </c>
      <c r="E45" s="12" t="s">
        <v>391</v>
      </c>
    </row>
    <row r="46" customFormat="false" ht="15" hidden="false" customHeight="false" outlineLevel="0" collapsed="false">
      <c r="A46" s="13" t="s">
        <v>392</v>
      </c>
      <c r="B46" s="22" t="n">
        <v>1.3</v>
      </c>
      <c r="C46" s="15" t="s">
        <v>103</v>
      </c>
      <c r="D46" s="15" t="s">
        <v>393</v>
      </c>
      <c r="E46" s="15" t="s">
        <v>394</v>
      </c>
    </row>
    <row r="47" customFormat="false" ht="15" hidden="false" customHeight="false" outlineLevel="0" collapsed="false">
      <c r="A47" s="10" t="s">
        <v>395</v>
      </c>
      <c r="B47" s="11" t="n">
        <v>10</v>
      </c>
      <c r="C47" s="12" t="s">
        <v>103</v>
      </c>
      <c r="D47" s="12" t="s">
        <v>396</v>
      </c>
      <c r="E47" s="12" t="s">
        <v>397</v>
      </c>
    </row>
    <row r="48" customFormat="false" ht="15" hidden="false" customHeight="false" outlineLevel="0" collapsed="false">
      <c r="A48" s="13" t="s">
        <v>398</v>
      </c>
      <c r="B48" s="25" t="n">
        <v>0.25</v>
      </c>
      <c r="C48" s="15" t="s">
        <v>108</v>
      </c>
      <c r="D48" s="15" t="s">
        <v>399</v>
      </c>
      <c r="E48" s="15" t="s">
        <v>400</v>
      </c>
    </row>
    <row r="49" customFormat="false" ht="15" hidden="false" customHeight="false" outlineLevel="0" collapsed="false">
      <c r="A49" s="10" t="s">
        <v>401</v>
      </c>
      <c r="B49" s="26" t="n">
        <v>0.5</v>
      </c>
      <c r="C49" s="12" t="s">
        <v>108</v>
      </c>
      <c r="D49" s="12" t="s">
        <v>402</v>
      </c>
      <c r="E49" s="12" t="s">
        <v>403</v>
      </c>
    </row>
    <row r="50" customFormat="false" ht="15" hidden="false" customHeight="false" outlineLevel="0" collapsed="false">
      <c r="A50" s="13" t="s">
        <v>404</v>
      </c>
      <c r="B50" s="21" t="s">
        <v>381</v>
      </c>
      <c r="C50" s="15" t="s">
        <v>108</v>
      </c>
      <c r="D50" s="15" t="s">
        <v>381</v>
      </c>
      <c r="E50" s="15" t="s">
        <v>405</v>
      </c>
    </row>
    <row r="51" customFormat="false" ht="15" hidden="false" customHeight="false" outlineLevel="0" collapsed="false">
      <c r="A51" s="10" t="s">
        <v>406</v>
      </c>
      <c r="B51" s="26" t="n">
        <v>0.05</v>
      </c>
      <c r="C51" s="12" t="s">
        <v>113</v>
      </c>
      <c r="D51" s="12" t="s">
        <v>407</v>
      </c>
      <c r="E51" s="12" t="s">
        <v>408</v>
      </c>
    </row>
    <row r="52" customFormat="false" ht="15" hidden="false" customHeight="false" outlineLevel="0" collapsed="false">
      <c r="A52" s="13" t="s">
        <v>409</v>
      </c>
      <c r="B52" s="14" t="n">
        <v>3</v>
      </c>
      <c r="C52" s="15" t="s">
        <v>113</v>
      </c>
      <c r="D52" s="15" t="s">
        <v>410</v>
      </c>
      <c r="E52" s="15" t="s">
        <v>411</v>
      </c>
    </row>
    <row r="54" customFormat="false" ht="21" hidden="false" customHeight="true" outlineLevel="0" collapsed="false">
      <c r="A54" s="7" t="s">
        <v>412</v>
      </c>
      <c r="B54" s="7"/>
      <c r="C54" s="7"/>
      <c r="D54" s="7"/>
      <c r="E54" s="7"/>
    </row>
    <row r="55" customFormat="false" ht="15" hidden="false" customHeight="false" outlineLevel="0" collapsed="false">
      <c r="A55" s="8" t="s">
        <v>127</v>
      </c>
      <c r="B55" s="9" t="s">
        <v>1</v>
      </c>
      <c r="C55" s="9" t="s">
        <v>120</v>
      </c>
      <c r="D55" s="9" t="s">
        <v>68</v>
      </c>
      <c r="E55" s="9" t="s">
        <v>379</v>
      </c>
    </row>
    <row r="56" customFormat="false" ht="15" hidden="false" customHeight="false" outlineLevel="0" collapsed="false">
      <c r="A56" s="10" t="s">
        <v>413</v>
      </c>
      <c r="B56" s="11" t="n">
        <v>50</v>
      </c>
      <c r="C56" s="12" t="s">
        <v>128</v>
      </c>
      <c r="D56" s="12" t="s">
        <v>414</v>
      </c>
      <c r="E56" s="12" t="s">
        <v>415</v>
      </c>
    </row>
    <row r="57" customFormat="false" ht="15" hidden="false" customHeight="false" outlineLevel="0" collapsed="false">
      <c r="A57" s="13" t="s">
        <v>139</v>
      </c>
      <c r="B57" s="22" t="n">
        <v>2</v>
      </c>
      <c r="C57" s="15" t="s">
        <v>135</v>
      </c>
      <c r="D57" s="15" t="s">
        <v>416</v>
      </c>
      <c r="E57" s="15" t="s">
        <v>417</v>
      </c>
    </row>
    <row r="58" customFormat="false" ht="15" hidden="false" customHeight="false" outlineLevel="0" collapsed="false">
      <c r="A58" s="10" t="s">
        <v>418</v>
      </c>
      <c r="B58" s="11" t="n">
        <v>1</v>
      </c>
      <c r="C58" s="12" t="s">
        <v>140</v>
      </c>
      <c r="D58" s="12" t="s">
        <v>419</v>
      </c>
      <c r="E58" s="12" t="s">
        <v>420</v>
      </c>
    </row>
    <row r="59" customFormat="false" ht="15" hidden="false" customHeight="false" outlineLevel="0" collapsed="false">
      <c r="A59" s="13" t="s">
        <v>421</v>
      </c>
      <c r="B59" s="14" t="n">
        <v>3</v>
      </c>
      <c r="C59" s="15" t="s">
        <v>140</v>
      </c>
      <c r="D59" s="15" t="s">
        <v>422</v>
      </c>
      <c r="E59" s="15"/>
    </row>
    <row r="60" customFormat="false" ht="15" hidden="false" customHeight="false" outlineLevel="0" collapsed="false">
      <c r="A60" s="10" t="s">
        <v>148</v>
      </c>
      <c r="B60" s="20" t="n">
        <v>1.5</v>
      </c>
      <c r="C60" s="12" t="s">
        <v>145</v>
      </c>
      <c r="D60" s="12" t="s">
        <v>423</v>
      </c>
      <c r="E60" s="12" t="s">
        <v>424</v>
      </c>
    </row>
    <row r="61" customFormat="false" ht="15" hidden="false" customHeight="false" outlineLevel="0" collapsed="false">
      <c r="A61" s="13" t="s">
        <v>151</v>
      </c>
      <c r="B61" s="25" t="n">
        <v>0.4</v>
      </c>
      <c r="C61" s="15" t="s">
        <v>149</v>
      </c>
      <c r="D61" s="15" t="s">
        <v>425</v>
      </c>
      <c r="E61" s="15" t="s">
        <v>426</v>
      </c>
    </row>
    <row r="62" customFormat="false" ht="15" hidden="false" customHeight="false" outlineLevel="0" collapsed="false">
      <c r="A62" s="10" t="s">
        <v>154</v>
      </c>
      <c r="B62" s="20" t="n">
        <v>1.3</v>
      </c>
      <c r="C62" s="12" t="s">
        <v>152</v>
      </c>
      <c r="D62" s="12" t="s">
        <v>427</v>
      </c>
      <c r="E62" s="12" t="s">
        <v>428</v>
      </c>
    </row>
    <row r="63" customFormat="false" ht="15" hidden="false" customHeight="false" outlineLevel="0" collapsed="false">
      <c r="A63" s="13" t="s">
        <v>158</v>
      </c>
      <c r="B63" s="22" t="n">
        <v>2</v>
      </c>
      <c r="C63" s="15" t="s">
        <v>155</v>
      </c>
      <c r="D63" s="15" t="s">
        <v>429</v>
      </c>
      <c r="E63" s="15" t="s">
        <v>430</v>
      </c>
    </row>
    <row r="64" customFormat="false" ht="15" hidden="false" customHeight="false" outlineLevel="0" collapsed="false">
      <c r="A64" s="10" t="s">
        <v>161</v>
      </c>
      <c r="B64" s="19" t="s">
        <v>381</v>
      </c>
      <c r="C64" s="12" t="s">
        <v>159</v>
      </c>
      <c r="D64" s="12" t="s">
        <v>381</v>
      </c>
      <c r="E64" s="12" t="s">
        <v>431</v>
      </c>
    </row>
    <row r="65" customFormat="false" ht="15" hidden="false" customHeight="false" outlineLevel="0" collapsed="false">
      <c r="A65" s="13" t="s">
        <v>164</v>
      </c>
      <c r="B65" s="14" t="n">
        <v>2</v>
      </c>
      <c r="C65" s="15" t="s">
        <v>162</v>
      </c>
      <c r="D65" s="15" t="s">
        <v>432</v>
      </c>
      <c r="E65" s="15" t="s">
        <v>433</v>
      </c>
    </row>
    <row r="67" customFormat="false" ht="21" hidden="false" customHeight="true" outlineLevel="0" collapsed="false">
      <c r="A67" s="7" t="s">
        <v>434</v>
      </c>
      <c r="B67" s="7"/>
      <c r="C67" s="7"/>
      <c r="D67" s="7"/>
      <c r="E67" s="7"/>
      <c r="F67" s="7"/>
      <c r="G67" s="7"/>
    </row>
    <row r="68" customFormat="false" ht="18.75" hidden="false" customHeight="true" outlineLevel="0" collapsed="false">
      <c r="A68" s="18" t="s">
        <v>435</v>
      </c>
      <c r="B68" s="18"/>
      <c r="C68" s="18"/>
      <c r="D68" s="18"/>
      <c r="E68" s="18"/>
      <c r="F68" s="18"/>
      <c r="G68" s="18"/>
    </row>
    <row r="69" customFormat="false" ht="15" hidden="false" customHeight="false" outlineLevel="0" collapsed="false">
      <c r="A69" s="8" t="s">
        <v>436</v>
      </c>
      <c r="B69" s="9" t="s">
        <v>1</v>
      </c>
      <c r="C69" s="9" t="s">
        <v>437</v>
      </c>
      <c r="D69" s="9" t="s">
        <v>68</v>
      </c>
      <c r="E69" s="9" t="s">
        <v>438</v>
      </c>
      <c r="F69" s="9" t="s">
        <v>439</v>
      </c>
      <c r="G69" s="9" t="s">
        <v>440</v>
      </c>
    </row>
    <row r="70" customFormat="false" ht="15" hidden="false" customHeight="false" outlineLevel="0" collapsed="false">
      <c r="A70" s="10" t="s">
        <v>441</v>
      </c>
      <c r="B70" s="11" t="n">
        <v>1</v>
      </c>
      <c r="C70" s="11" t="n">
        <v>1</v>
      </c>
      <c r="D70" s="19" t="s">
        <v>442</v>
      </c>
      <c r="E70" s="19" t="s">
        <v>443</v>
      </c>
      <c r="F70" s="27" t="n">
        <f aca="false">INDEX(Economy!$B$16:$B$18,C70)</f>
        <v>45</v>
      </c>
      <c r="G70" s="11" t="n">
        <v>1</v>
      </c>
    </row>
    <row r="71" customFormat="false" ht="15" hidden="false" customHeight="false" outlineLevel="0" collapsed="false">
      <c r="A71" s="13" t="s">
        <v>444</v>
      </c>
      <c r="B71" s="14" t="n">
        <v>4</v>
      </c>
      <c r="C71" s="14" t="n">
        <v>1</v>
      </c>
      <c r="D71" s="21" t="s">
        <v>445</v>
      </c>
      <c r="E71" s="21" t="s">
        <v>446</v>
      </c>
      <c r="F71" s="28" t="n">
        <f aca="false">INDEX(Economy!$B$16:$B$18,C71)</f>
        <v>45</v>
      </c>
      <c r="G71" s="14" t="n">
        <v>1</v>
      </c>
    </row>
    <row r="72" customFormat="false" ht="15" hidden="false" customHeight="false" outlineLevel="0" collapsed="false">
      <c r="A72" s="10" t="s">
        <v>447</v>
      </c>
      <c r="B72" s="20" t="n">
        <v>1.3</v>
      </c>
      <c r="C72" s="11" t="n">
        <v>1</v>
      </c>
      <c r="D72" s="19" t="s">
        <v>448</v>
      </c>
      <c r="E72" s="19" t="s">
        <v>449</v>
      </c>
      <c r="F72" s="27" t="n">
        <f aca="false">INDEX(Economy!$B$16:$B$18,C72)</f>
        <v>45</v>
      </c>
      <c r="G72" s="11" t="n">
        <v>1</v>
      </c>
    </row>
    <row r="73" customFormat="false" ht="15" hidden="false" customHeight="false" outlineLevel="0" collapsed="false">
      <c r="A73" s="13" t="s">
        <v>450</v>
      </c>
      <c r="B73" s="14" t="n">
        <v>3</v>
      </c>
      <c r="C73" s="14" t="n">
        <v>1</v>
      </c>
      <c r="D73" s="21" t="s">
        <v>451</v>
      </c>
      <c r="E73" s="21" t="s">
        <v>452</v>
      </c>
      <c r="F73" s="28" t="n">
        <f aca="false">INDEX(Economy!$B$16:$B$18,C73)</f>
        <v>45</v>
      </c>
      <c r="G73" s="14" t="n">
        <v>1</v>
      </c>
    </row>
    <row r="74" customFormat="false" ht="15" hidden="false" customHeight="false" outlineLevel="0" collapsed="false">
      <c r="A74" s="10" t="s">
        <v>453</v>
      </c>
      <c r="B74" s="20" t="n">
        <v>1.3</v>
      </c>
      <c r="C74" s="11" t="n">
        <v>1</v>
      </c>
      <c r="D74" s="19" t="s">
        <v>454</v>
      </c>
      <c r="E74" s="19" t="s">
        <v>455</v>
      </c>
      <c r="F74" s="27" t="n">
        <f aca="false">INDEX(Economy!$B$16:$B$18,C74)</f>
        <v>45</v>
      </c>
      <c r="G74" s="11" t="n">
        <v>1</v>
      </c>
    </row>
    <row r="75" customFormat="false" ht="15" hidden="false" customHeight="false" outlineLevel="0" collapsed="false">
      <c r="A75" s="13" t="s">
        <v>456</v>
      </c>
      <c r="B75" s="22" t="n">
        <v>1.25</v>
      </c>
      <c r="C75" s="14" t="n">
        <v>2</v>
      </c>
      <c r="D75" s="21" t="s">
        <v>457</v>
      </c>
      <c r="E75" s="21" t="s">
        <v>458</v>
      </c>
      <c r="F75" s="28" t="n">
        <f aca="false">INDEX(Economy!$B$16:$B$18,C75)</f>
        <v>70</v>
      </c>
      <c r="G75" s="14" t="n">
        <v>1</v>
      </c>
    </row>
    <row r="76" customFormat="false" ht="15" hidden="false" customHeight="false" outlineLevel="0" collapsed="false">
      <c r="A76" s="10" t="s">
        <v>459</v>
      </c>
      <c r="B76" s="26" t="n">
        <v>0.06</v>
      </c>
      <c r="C76" s="11" t="n">
        <v>2</v>
      </c>
      <c r="D76" s="19" t="s">
        <v>460</v>
      </c>
      <c r="E76" s="19" t="s">
        <v>461</v>
      </c>
      <c r="F76" s="27" t="n">
        <f aca="false">INDEX(Economy!$B$16:$B$18,C76)</f>
        <v>70</v>
      </c>
      <c r="G76" s="11" t="n">
        <v>1</v>
      </c>
    </row>
    <row r="77" customFormat="false" ht="15" hidden="false" customHeight="false" outlineLevel="0" collapsed="false">
      <c r="A77" s="13" t="s">
        <v>462</v>
      </c>
      <c r="B77" s="14" t="n">
        <v>50</v>
      </c>
      <c r="C77" s="14" t="n">
        <v>2</v>
      </c>
      <c r="D77" s="21" t="s">
        <v>463</v>
      </c>
      <c r="E77" s="21" t="s">
        <v>464</v>
      </c>
      <c r="F77" s="28" t="n">
        <f aca="false">INDEX(Economy!$B$16:$B$18,C77)</f>
        <v>70</v>
      </c>
      <c r="G77" s="14" t="n">
        <v>1</v>
      </c>
    </row>
    <row r="78" customFormat="false" ht="15" hidden="false" customHeight="false" outlineLevel="0" collapsed="false">
      <c r="A78" s="10" t="s">
        <v>465</v>
      </c>
      <c r="B78" s="26" t="n">
        <v>0.15</v>
      </c>
      <c r="C78" s="11" t="n">
        <v>2</v>
      </c>
      <c r="D78" s="19" t="s">
        <v>466</v>
      </c>
      <c r="E78" s="19" t="s">
        <v>467</v>
      </c>
      <c r="F78" s="27" t="n">
        <f aca="false">INDEX(Economy!$B$16:$B$18,C78)</f>
        <v>70</v>
      </c>
      <c r="G78" s="11" t="n">
        <v>1</v>
      </c>
    </row>
    <row r="79" customFormat="false" ht="15" hidden="false" customHeight="false" outlineLevel="0" collapsed="false">
      <c r="A79" s="13" t="s">
        <v>468</v>
      </c>
      <c r="B79" s="22" t="n">
        <v>0.85</v>
      </c>
      <c r="C79" s="14" t="n">
        <v>2</v>
      </c>
      <c r="D79" s="21" t="s">
        <v>469</v>
      </c>
      <c r="E79" s="21" t="s">
        <v>470</v>
      </c>
      <c r="F79" s="28" t="n">
        <f aca="false">INDEX(Economy!$B$16:$B$18,C79)</f>
        <v>70</v>
      </c>
      <c r="G79" s="14" t="n">
        <v>1</v>
      </c>
    </row>
    <row r="80" customFormat="false" ht="15" hidden="false" customHeight="false" outlineLevel="0" collapsed="false">
      <c r="A80" s="10" t="s">
        <v>471</v>
      </c>
      <c r="B80" s="20" t="n">
        <v>2</v>
      </c>
      <c r="C80" s="11" t="n">
        <v>3</v>
      </c>
      <c r="D80" s="19" t="s">
        <v>472</v>
      </c>
      <c r="E80" s="19" t="s">
        <v>473</v>
      </c>
      <c r="F80" s="27" t="n">
        <f aca="false">INDEX(Economy!$B$16:$B$18,C80)</f>
        <v>100</v>
      </c>
      <c r="G80" s="11" t="n">
        <v>1</v>
      </c>
    </row>
    <row r="81" customFormat="false" ht="15" hidden="false" customHeight="false" outlineLevel="0" collapsed="false">
      <c r="A81" s="13" t="s">
        <v>474</v>
      </c>
      <c r="B81" s="22" t="n">
        <v>1.2</v>
      </c>
      <c r="C81" s="14" t="n">
        <v>3</v>
      </c>
      <c r="D81" s="21" t="s">
        <v>475</v>
      </c>
      <c r="E81" s="21" t="s">
        <v>476</v>
      </c>
      <c r="F81" s="28" t="n">
        <f aca="false">INDEX(Economy!$B$16:$B$18,C81)</f>
        <v>100</v>
      </c>
      <c r="G81" s="14" t="n">
        <v>1</v>
      </c>
    </row>
    <row r="82" customFormat="false" ht="15" hidden="false" customHeight="false" outlineLevel="0" collapsed="false">
      <c r="A82" s="10" t="s">
        <v>477</v>
      </c>
      <c r="B82" s="26" t="n">
        <v>0.15</v>
      </c>
      <c r="C82" s="11" t="n">
        <v>3</v>
      </c>
      <c r="D82" s="19" t="s">
        <v>478</v>
      </c>
      <c r="E82" s="19" t="s">
        <v>479</v>
      </c>
      <c r="F82" s="27" t="n">
        <f aca="false">INDEX(Economy!$B$16:$B$18,C82)</f>
        <v>100</v>
      </c>
      <c r="G82" s="11" t="n">
        <v>1</v>
      </c>
    </row>
    <row r="83" customFormat="false" ht="15" hidden="false" customHeight="false" outlineLevel="0" collapsed="false">
      <c r="A83" s="13" t="s">
        <v>480</v>
      </c>
      <c r="B83" s="22" t="n">
        <v>1.5</v>
      </c>
      <c r="C83" s="14" t="n">
        <v>3</v>
      </c>
      <c r="D83" s="21" t="s">
        <v>481</v>
      </c>
      <c r="E83" s="21" t="s">
        <v>482</v>
      </c>
      <c r="F83" s="28" t="n">
        <f aca="false">INDEX(Economy!$B$16:$B$18,C83)</f>
        <v>100</v>
      </c>
      <c r="G83" s="14" t="n">
        <v>1</v>
      </c>
    </row>
    <row r="84" customFormat="false" ht="15" hidden="false" customHeight="false" outlineLevel="0" collapsed="false">
      <c r="A84" s="10" t="s">
        <v>483</v>
      </c>
      <c r="B84" s="20" t="n">
        <v>1.2</v>
      </c>
      <c r="C84" s="11" t="n">
        <v>3</v>
      </c>
      <c r="D84" s="19" t="s">
        <v>484</v>
      </c>
      <c r="E84" s="19" t="s">
        <v>485</v>
      </c>
      <c r="F84" s="27" t="n">
        <f aca="false">INDEX(Economy!$B$16:$B$18,C84)</f>
        <v>100</v>
      </c>
      <c r="G84" s="11" t="n">
        <v>1</v>
      </c>
    </row>
    <row r="85" customFormat="false" ht="15" hidden="false" customHeight="false" outlineLevel="0" collapsed="false">
      <c r="A85" s="13" t="s">
        <v>486</v>
      </c>
      <c r="B85" s="14" t="n">
        <v>2</v>
      </c>
      <c r="C85" s="14" t="n">
        <v>1</v>
      </c>
      <c r="D85" s="21" t="s">
        <v>487</v>
      </c>
      <c r="E85" s="21" t="s">
        <v>488</v>
      </c>
      <c r="F85" s="28" t="n">
        <f aca="false">INDEX(Economy!$B$16:$B$18,C85)</f>
        <v>45</v>
      </c>
      <c r="G85" s="14" t="n">
        <v>1</v>
      </c>
    </row>
    <row r="86" customFormat="false" ht="15" hidden="false" customHeight="false" outlineLevel="0" collapsed="false">
      <c r="A86" s="10" t="s">
        <v>489</v>
      </c>
      <c r="B86" s="11" t="n">
        <v>8</v>
      </c>
      <c r="C86" s="11" t="n">
        <v>1</v>
      </c>
      <c r="D86" s="19" t="s">
        <v>490</v>
      </c>
      <c r="E86" s="19" t="s">
        <v>491</v>
      </c>
      <c r="F86" s="27" t="n">
        <f aca="false">INDEX(Economy!$B$16:$B$18,C86)</f>
        <v>45</v>
      </c>
      <c r="G86" s="11" t="n">
        <v>2</v>
      </c>
    </row>
    <row r="87" customFormat="false" ht="15" hidden="false" customHeight="false" outlineLevel="0" collapsed="false">
      <c r="A87" s="13" t="s">
        <v>492</v>
      </c>
      <c r="B87" s="22" t="n">
        <v>3</v>
      </c>
      <c r="C87" s="14" t="n">
        <v>2</v>
      </c>
      <c r="D87" s="21" t="s">
        <v>493</v>
      </c>
      <c r="E87" s="21" t="s">
        <v>494</v>
      </c>
      <c r="F87" s="28" t="n">
        <f aca="false">INDEX(Economy!$B$16:$B$18,C87)</f>
        <v>70</v>
      </c>
      <c r="G87" s="14" t="n">
        <v>2</v>
      </c>
    </row>
    <row r="88" customFormat="false" ht="15" hidden="false" customHeight="false" outlineLevel="0" collapsed="false">
      <c r="A88" s="10" t="s">
        <v>495</v>
      </c>
      <c r="B88" s="11" t="n">
        <v>16</v>
      </c>
      <c r="C88" s="11" t="n">
        <v>2</v>
      </c>
      <c r="D88" s="19" t="s">
        <v>496</v>
      </c>
      <c r="E88" s="19" t="s">
        <v>497</v>
      </c>
      <c r="F88" s="27" t="n">
        <f aca="false">INDEX(Economy!$B$16:$B$18,C88)</f>
        <v>70</v>
      </c>
      <c r="G88" s="11" t="n">
        <v>1</v>
      </c>
    </row>
    <row r="89" customFormat="false" ht="15" hidden="false" customHeight="false" outlineLevel="0" collapsed="false">
      <c r="A89" s="13" t="s">
        <v>498</v>
      </c>
      <c r="B89" s="14" t="n">
        <v>6</v>
      </c>
      <c r="C89" s="14" t="n">
        <v>3</v>
      </c>
      <c r="D89" s="21" t="s">
        <v>499</v>
      </c>
      <c r="E89" s="21" t="s">
        <v>500</v>
      </c>
      <c r="F89" s="28" t="n">
        <f aca="false">INDEX(Economy!$B$16:$B$18,C89)</f>
        <v>100</v>
      </c>
      <c r="G89" s="14" t="n">
        <v>1</v>
      </c>
    </row>
    <row r="90" customFormat="false" ht="15" hidden="false" customHeight="false" outlineLevel="0" collapsed="false">
      <c r="A90" s="10" t="s">
        <v>501</v>
      </c>
      <c r="B90" s="11" t="n">
        <v>60</v>
      </c>
      <c r="C90" s="11" t="n">
        <v>3</v>
      </c>
      <c r="D90" s="19" t="s">
        <v>502</v>
      </c>
      <c r="E90" s="19" t="s">
        <v>503</v>
      </c>
      <c r="F90" s="27" t="n">
        <f aca="false">INDEX(Economy!$B$16:$B$18,C90)</f>
        <v>100</v>
      </c>
      <c r="G90" s="11" t="n">
        <v>1</v>
      </c>
    </row>
    <row r="92" customFormat="false" ht="21" hidden="false" customHeight="true" outlineLevel="0" collapsed="false">
      <c r="A92" s="7" t="s">
        <v>504</v>
      </c>
      <c r="B92" s="7"/>
      <c r="C92" s="7"/>
      <c r="D92" s="7"/>
      <c r="E92" s="7"/>
    </row>
    <row r="93" customFormat="false" ht="18.75" hidden="false" customHeight="true" outlineLevel="0" collapsed="false">
      <c r="A93" s="18" t="s">
        <v>505</v>
      </c>
      <c r="B93" s="18"/>
      <c r="C93" s="18"/>
      <c r="D93" s="18"/>
      <c r="E93" s="18"/>
    </row>
    <row r="94" customFormat="false" ht="15" hidden="false" customHeight="false" outlineLevel="0" collapsed="false">
      <c r="A94" s="8" t="s">
        <v>127</v>
      </c>
      <c r="B94" s="9" t="s">
        <v>1</v>
      </c>
      <c r="C94" s="9" t="s">
        <v>183</v>
      </c>
      <c r="D94" s="9" t="s">
        <v>68</v>
      </c>
      <c r="E94" s="9" t="s">
        <v>379</v>
      </c>
    </row>
    <row r="95" customFormat="false" ht="15" hidden="false" customHeight="false" outlineLevel="0" collapsed="false">
      <c r="A95" s="10" t="s">
        <v>506</v>
      </c>
      <c r="B95" s="19" t="s">
        <v>381</v>
      </c>
      <c r="C95" s="12" t="s">
        <v>205</v>
      </c>
      <c r="D95" s="12" t="s">
        <v>381</v>
      </c>
      <c r="E95" s="12" t="s">
        <v>507</v>
      </c>
    </row>
    <row r="96" customFormat="false" ht="15" hidden="false" customHeight="false" outlineLevel="0" collapsed="false">
      <c r="A96" s="13" t="s">
        <v>508</v>
      </c>
      <c r="B96" s="22" t="n">
        <v>1.5</v>
      </c>
      <c r="C96" s="15" t="s">
        <v>209</v>
      </c>
      <c r="D96" s="15" t="s">
        <v>509</v>
      </c>
      <c r="E96" s="15" t="s">
        <v>510</v>
      </c>
    </row>
    <row r="97" customFormat="false" ht="15" hidden="false" customHeight="false" outlineLevel="0" collapsed="false">
      <c r="A97" s="10" t="s">
        <v>511</v>
      </c>
      <c r="B97" s="11" t="n">
        <v>8</v>
      </c>
      <c r="C97" s="12" t="s">
        <v>212</v>
      </c>
      <c r="D97" s="12" t="s">
        <v>512</v>
      </c>
      <c r="E97" s="12" t="s">
        <v>513</v>
      </c>
    </row>
    <row r="98" customFormat="false" ht="15" hidden="false" customHeight="false" outlineLevel="0" collapsed="false">
      <c r="A98" s="13" t="s">
        <v>514</v>
      </c>
      <c r="B98" s="21" t="s">
        <v>381</v>
      </c>
      <c r="C98" s="15" t="s">
        <v>215</v>
      </c>
      <c r="D98" s="15" t="s">
        <v>381</v>
      </c>
      <c r="E98" s="15" t="s">
        <v>515</v>
      </c>
    </row>
    <row r="99" customFormat="false" ht="15" hidden="false" customHeight="false" outlineLevel="0" collapsed="false">
      <c r="A99" s="10" t="s">
        <v>516</v>
      </c>
      <c r="B99" s="19" t="s">
        <v>381</v>
      </c>
      <c r="C99" s="12" t="s">
        <v>217</v>
      </c>
      <c r="D99" s="12" t="s">
        <v>381</v>
      </c>
      <c r="E99" s="12" t="s">
        <v>517</v>
      </c>
    </row>
    <row r="100" customFormat="false" ht="15" hidden="false" customHeight="false" outlineLevel="0" collapsed="false">
      <c r="A100" s="13" t="s">
        <v>518</v>
      </c>
      <c r="B100" s="25" t="n">
        <v>0.5</v>
      </c>
      <c r="C100" s="15" t="s">
        <v>221</v>
      </c>
      <c r="D100" s="15" t="s">
        <v>519</v>
      </c>
      <c r="E100" s="15" t="s">
        <v>520</v>
      </c>
    </row>
    <row r="101" customFormat="false" ht="15" hidden="false" customHeight="false" outlineLevel="0" collapsed="false">
      <c r="A101" s="10" t="s">
        <v>521</v>
      </c>
      <c r="B101" s="11" t="n">
        <v>12</v>
      </c>
      <c r="C101" s="12" t="s">
        <v>224</v>
      </c>
      <c r="D101" s="12" t="s">
        <v>522</v>
      </c>
      <c r="E101" s="12" t="s">
        <v>523</v>
      </c>
    </row>
    <row r="102" customFormat="false" ht="15" hidden="false" customHeight="false" outlineLevel="0" collapsed="false">
      <c r="A102" s="13" t="s">
        <v>524</v>
      </c>
      <c r="B102" s="25" t="n">
        <v>0.8</v>
      </c>
      <c r="C102" s="15" t="s">
        <v>228</v>
      </c>
      <c r="D102" s="15" t="s">
        <v>525</v>
      </c>
      <c r="E102" s="15" t="s">
        <v>526</v>
      </c>
    </row>
    <row r="103" customFormat="false" ht="15" hidden="false" customHeight="false" outlineLevel="0" collapsed="false">
      <c r="A103" s="10" t="s">
        <v>527</v>
      </c>
      <c r="B103" s="20" t="n">
        <v>1.5</v>
      </c>
      <c r="C103" s="12" t="s">
        <v>231</v>
      </c>
      <c r="D103" s="12" t="s">
        <v>528</v>
      </c>
      <c r="E103" s="12" t="s">
        <v>529</v>
      </c>
    </row>
    <row r="104" customFormat="false" ht="15" hidden="false" customHeight="false" outlineLevel="0" collapsed="false">
      <c r="A104" s="13" t="s">
        <v>530</v>
      </c>
      <c r="B104" s="14" t="n">
        <v>15</v>
      </c>
      <c r="C104" s="15" t="s">
        <v>231</v>
      </c>
      <c r="D104" s="15" t="s">
        <v>531</v>
      </c>
      <c r="E104" s="15" t="s">
        <v>532</v>
      </c>
    </row>
  </sheetData>
  <mergeCells count="9">
    <mergeCell ref="A1:E1"/>
    <mergeCell ref="A20:E20"/>
    <mergeCell ref="A38:E38"/>
    <mergeCell ref="A39:E39"/>
    <mergeCell ref="A54:E54"/>
    <mergeCell ref="A67:G67"/>
    <mergeCell ref="A68:G68"/>
    <mergeCell ref="A92:E92"/>
    <mergeCell ref="A93:E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2"/>
    <col collapsed="false" customWidth="true" hidden="false" outlineLevel="0" max="7" min="5" style="0" width="14"/>
    <col collapsed="false" customWidth="true" hidden="false" outlineLevel="0" max="8" min="8" style="0" width="40"/>
  </cols>
  <sheetData>
    <row r="1" customFormat="false" ht="30" hidden="false" customHeight="true" outlineLevel="0" collapsed="false">
      <c r="A1" s="6" t="s">
        <v>533</v>
      </c>
      <c r="B1" s="6"/>
      <c r="C1" s="6"/>
      <c r="D1" s="6"/>
      <c r="E1" s="6"/>
      <c r="F1" s="6"/>
      <c r="G1" s="6"/>
      <c r="H1" s="6"/>
    </row>
    <row r="3" customFormat="false" ht="21" hidden="false" customHeight="true" outlineLevel="0" collapsed="false">
      <c r="A3" s="7" t="s">
        <v>534</v>
      </c>
      <c r="B3" s="7"/>
      <c r="C3" s="7"/>
      <c r="D3" s="7"/>
      <c r="E3" s="7"/>
      <c r="F3" s="7"/>
      <c r="G3" s="7"/>
      <c r="H3" s="7"/>
    </row>
    <row r="4" customFormat="false" ht="18.75" hidden="false" customHeight="true" outlineLevel="0" collapsed="false">
      <c r="A4" s="18" t="s">
        <v>535</v>
      </c>
      <c r="B4" s="18"/>
      <c r="C4" s="18"/>
      <c r="D4" s="18"/>
      <c r="E4" s="18"/>
      <c r="F4" s="18"/>
      <c r="G4" s="18"/>
      <c r="H4" s="18"/>
    </row>
    <row r="5" customFormat="false" ht="15" hidden="false" customHeight="false" outlineLevel="0" collapsed="false">
      <c r="A5" s="8" t="s">
        <v>536</v>
      </c>
      <c r="B5" s="9" t="s">
        <v>537</v>
      </c>
      <c r="C5" s="9" t="s">
        <v>538</v>
      </c>
      <c r="D5" s="9" t="s">
        <v>539</v>
      </c>
      <c r="E5" s="9" t="s">
        <v>540</v>
      </c>
      <c r="F5" s="9" t="s">
        <v>541</v>
      </c>
      <c r="G5" s="9" t="s">
        <v>542</v>
      </c>
      <c r="H5" s="9" t="s">
        <v>3</v>
      </c>
    </row>
    <row r="6" customFormat="false" ht="15" hidden="false" customHeight="false" outlineLevel="0" collapsed="false">
      <c r="A6" s="10" t="s">
        <v>543</v>
      </c>
      <c r="B6" s="11" t="n">
        <v>70</v>
      </c>
      <c r="C6" s="11" t="n">
        <v>76</v>
      </c>
      <c r="D6" s="11" t="n">
        <v>84</v>
      </c>
      <c r="E6" s="11" t="n">
        <f aca="false">60000/B6</f>
        <v>857.142857142857</v>
      </c>
      <c r="F6" s="11" t="n">
        <f aca="false">60000/C6</f>
        <v>789.473684210526</v>
      </c>
      <c r="G6" s="11" t="n">
        <f aca="false">60000/D6</f>
        <v>714.285714285714</v>
      </c>
      <c r="H6" s="19" t="s">
        <v>544</v>
      </c>
    </row>
    <row r="7" customFormat="false" ht="15" hidden="false" customHeight="false" outlineLevel="0" collapsed="false">
      <c r="A7" s="13" t="s">
        <v>545</v>
      </c>
      <c r="B7" s="14" t="n">
        <v>80</v>
      </c>
      <c r="C7" s="14" t="n">
        <v>90</v>
      </c>
      <c r="D7" s="14" t="n">
        <v>100</v>
      </c>
      <c r="E7" s="14" t="n">
        <f aca="false">60000/B7</f>
        <v>750</v>
      </c>
      <c r="F7" s="14" t="n">
        <f aca="false">60000/C7</f>
        <v>666.666666666667</v>
      </c>
      <c r="G7" s="14" t="n">
        <f aca="false">60000/D7</f>
        <v>600</v>
      </c>
      <c r="H7" s="21" t="s">
        <v>544</v>
      </c>
    </row>
    <row r="8" customFormat="false" ht="15" hidden="false" customHeight="false" outlineLevel="0" collapsed="false">
      <c r="A8" s="10" t="s">
        <v>546</v>
      </c>
      <c r="B8" s="11" t="n">
        <v>88</v>
      </c>
      <c r="C8" s="11" t="n">
        <v>100</v>
      </c>
      <c r="D8" s="11" t="n">
        <v>112</v>
      </c>
      <c r="E8" s="11" t="n">
        <f aca="false">60000/B8</f>
        <v>681.818181818182</v>
      </c>
      <c r="F8" s="11" t="n">
        <f aca="false">60000/C8</f>
        <v>600</v>
      </c>
      <c r="G8" s="11" t="n">
        <f aca="false">60000/D8</f>
        <v>535.714285714286</v>
      </c>
      <c r="H8" s="19" t="s">
        <v>544</v>
      </c>
    </row>
    <row r="9" customFormat="false" ht="15" hidden="false" customHeight="false" outlineLevel="0" collapsed="false">
      <c r="A9" s="13" t="s">
        <v>547</v>
      </c>
      <c r="B9" s="14" t="n">
        <v>96</v>
      </c>
      <c r="C9" s="14" t="n">
        <v>112</v>
      </c>
      <c r="D9" s="14" t="n">
        <v>128</v>
      </c>
      <c r="E9" s="14" t="n">
        <f aca="false">60000/B9</f>
        <v>625</v>
      </c>
      <c r="F9" s="14" t="n">
        <f aca="false">60000/C9</f>
        <v>535.714285714286</v>
      </c>
      <c r="G9" s="14" t="n">
        <f aca="false">60000/D9</f>
        <v>468.75</v>
      </c>
      <c r="H9" s="21" t="s">
        <v>548</v>
      </c>
    </row>
    <row r="10" customFormat="false" ht="15" hidden="false" customHeight="false" outlineLevel="0" collapsed="false">
      <c r="A10" s="10" t="s">
        <v>549</v>
      </c>
      <c r="B10" s="11" t="n">
        <v>96</v>
      </c>
      <c r="C10" s="11" t="n">
        <v>112</v>
      </c>
      <c r="D10" s="11" t="n">
        <v>128</v>
      </c>
      <c r="E10" s="11" t="n">
        <f aca="false">60000/B10</f>
        <v>625</v>
      </c>
      <c r="F10" s="11" t="n">
        <f aca="false">60000/C10</f>
        <v>535.714285714286</v>
      </c>
      <c r="G10" s="11" t="n">
        <f aca="false">60000/D10</f>
        <v>468.75</v>
      </c>
      <c r="H10" s="19" t="s">
        <v>548</v>
      </c>
    </row>
    <row r="11" customFormat="false" ht="15" hidden="false" customHeight="false" outlineLevel="0" collapsed="false">
      <c r="A11" s="13" t="s">
        <v>550</v>
      </c>
      <c r="B11" s="14" t="n">
        <v>96</v>
      </c>
      <c r="C11" s="14" t="n">
        <v>112</v>
      </c>
      <c r="D11" s="14" t="n">
        <v>128</v>
      </c>
      <c r="E11" s="14" t="n">
        <f aca="false">60000/B11</f>
        <v>625</v>
      </c>
      <c r="F11" s="14" t="n">
        <f aca="false">60000/C11</f>
        <v>535.714285714286</v>
      </c>
      <c r="G11" s="14" t="n">
        <f aca="false">60000/D11</f>
        <v>468.75</v>
      </c>
      <c r="H11" s="21" t="s">
        <v>548</v>
      </c>
    </row>
    <row r="13" customFormat="false" ht="21" hidden="false" customHeight="true" outlineLevel="0" collapsed="false">
      <c r="A13" s="7" t="s">
        <v>551</v>
      </c>
      <c r="B13" s="7"/>
      <c r="C13" s="7"/>
      <c r="D13" s="7"/>
    </row>
    <row r="14" customFormat="false" ht="15" hidden="false" customHeight="false" outlineLevel="0" collapsed="false">
      <c r="A14" s="8" t="s">
        <v>0</v>
      </c>
      <c r="B14" s="9" t="s">
        <v>179</v>
      </c>
      <c r="C14" s="9" t="s">
        <v>180</v>
      </c>
      <c r="D14" s="9" t="s">
        <v>3</v>
      </c>
    </row>
    <row r="15" customFormat="false" ht="15" hidden="false" customHeight="false" outlineLevel="0" collapsed="false">
      <c r="A15" s="10" t="s">
        <v>552</v>
      </c>
      <c r="B15" s="11" t="n">
        <v>3</v>
      </c>
      <c r="C15" s="11" t="n">
        <v>0</v>
      </c>
      <c r="D15" s="12" t="s">
        <v>553</v>
      </c>
    </row>
    <row r="16" customFormat="false" ht="15" hidden="false" customHeight="false" outlineLevel="0" collapsed="false">
      <c r="A16" s="13" t="s">
        <v>554</v>
      </c>
      <c r="B16" s="14" t="n">
        <v>1</v>
      </c>
      <c r="C16" s="14" t="n">
        <v>1</v>
      </c>
      <c r="D16" s="15" t="s">
        <v>555</v>
      </c>
    </row>
    <row r="17" customFormat="false" ht="15" hidden="false" customHeight="false" outlineLevel="0" collapsed="false">
      <c r="A17" s="10" t="s">
        <v>556</v>
      </c>
      <c r="B17" s="11" t="n">
        <v>2</v>
      </c>
      <c r="C17" s="11" t="n">
        <v>1</v>
      </c>
      <c r="D17" s="12" t="s">
        <v>557</v>
      </c>
    </row>
    <row r="18" customFormat="false" ht="15" hidden="false" customHeight="false" outlineLevel="0" collapsed="false">
      <c r="A18" s="13" t="s">
        <v>558</v>
      </c>
      <c r="B18" s="14" t="n">
        <v>2</v>
      </c>
      <c r="C18" s="14" t="n">
        <v>1</v>
      </c>
      <c r="D18" s="15"/>
    </row>
    <row r="19" customFormat="false" ht="15" hidden="false" customHeight="false" outlineLevel="0" collapsed="false">
      <c r="A19" s="10" t="s">
        <v>559</v>
      </c>
      <c r="B19" s="11" t="n">
        <v>100</v>
      </c>
      <c r="C19" s="11" t="n">
        <v>80</v>
      </c>
      <c r="D19" s="12"/>
    </row>
    <row r="20" customFormat="false" ht="15" hidden="false" customHeight="false" outlineLevel="0" collapsed="false">
      <c r="A20" s="13" t="s">
        <v>560</v>
      </c>
      <c r="B20" s="14" t="n">
        <v>220</v>
      </c>
      <c r="C20" s="14" t="n">
        <v>180</v>
      </c>
      <c r="D20" s="15"/>
    </row>
    <row r="21" customFormat="false" ht="15" hidden="false" customHeight="false" outlineLevel="0" collapsed="false">
      <c r="A21" s="10" t="s">
        <v>561</v>
      </c>
      <c r="B21" s="26" t="n">
        <v>0.5</v>
      </c>
      <c r="C21" s="26" t="n">
        <v>0.3</v>
      </c>
      <c r="D21" s="12" t="s">
        <v>562</v>
      </c>
    </row>
    <row r="22" customFormat="false" ht="15" hidden="false" customHeight="false" outlineLevel="0" collapsed="false">
      <c r="A22" s="13" t="s">
        <v>563</v>
      </c>
      <c r="B22" s="14" t="n">
        <v>5</v>
      </c>
      <c r="C22" s="14" t="n">
        <v>6</v>
      </c>
      <c r="D22" s="15"/>
    </row>
    <row r="23" customFormat="false" ht="15" hidden="false" customHeight="false" outlineLevel="0" collapsed="false">
      <c r="A23" s="10" t="s">
        <v>564</v>
      </c>
      <c r="B23" s="16" t="n">
        <f aca="false">'Entity Tuning'!$B$41</f>
        <v>0.8</v>
      </c>
      <c r="C23" s="16" t="n">
        <f aca="false">'Entity Tuning'!$B$42</f>
        <v>1</v>
      </c>
      <c r="D23" s="12" t="s">
        <v>565</v>
      </c>
    </row>
    <row r="24" customFormat="false" ht="15" hidden="false" customHeight="false" outlineLevel="0" collapsed="false">
      <c r="A24" s="13" t="s">
        <v>566</v>
      </c>
      <c r="B24" s="17" t="n">
        <f aca="false">'Entity Tuning'!$C$41</f>
        <v>1.25</v>
      </c>
      <c r="C24" s="17" t="n">
        <f aca="false">'Entity Tuning'!$C$42</f>
        <v>1.65</v>
      </c>
      <c r="D24" s="15"/>
    </row>
    <row r="25" customFormat="false" ht="15" hidden="false" customHeight="false" outlineLevel="0" collapsed="false">
      <c r="A25" s="10" t="s">
        <v>567</v>
      </c>
      <c r="B25" s="16" t="n">
        <f aca="false">'Entity Tuning'!$D$41</f>
        <v>2.1</v>
      </c>
      <c r="C25" s="16" t="n">
        <f aca="false">'Entity Tuning'!$D$42</f>
        <v>2.4</v>
      </c>
      <c r="D25" s="12"/>
    </row>
    <row r="27" customFormat="false" ht="21" hidden="false" customHeight="true" outlineLevel="0" collapsed="false">
      <c r="A27" s="7" t="s">
        <v>568</v>
      </c>
      <c r="B27" s="7"/>
      <c r="C27" s="7"/>
      <c r="D27" s="7"/>
      <c r="E27" s="7"/>
      <c r="F27" s="7"/>
      <c r="G27" s="7"/>
      <c r="H27" s="7"/>
    </row>
    <row r="28" customFormat="false" ht="18.75" hidden="false" customHeight="true" outlineLevel="0" collapsed="false">
      <c r="A28" s="18" t="s">
        <v>569</v>
      </c>
      <c r="B28" s="18"/>
      <c r="C28" s="18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8" t="s">
        <v>183</v>
      </c>
      <c r="B29" s="9" t="s">
        <v>188</v>
      </c>
      <c r="C29" s="9" t="s">
        <v>189</v>
      </c>
      <c r="D29" s="9" t="s">
        <v>190</v>
      </c>
      <c r="E29" s="9" t="s">
        <v>191</v>
      </c>
      <c r="F29" s="9" t="s">
        <v>192</v>
      </c>
      <c r="G29" s="9" t="s">
        <v>193</v>
      </c>
      <c r="H29" s="9" t="s">
        <v>184</v>
      </c>
    </row>
    <row r="30" customFormat="false" ht="15" hidden="false" customHeight="false" outlineLevel="0" collapsed="false">
      <c r="A30" s="10" t="s">
        <v>205</v>
      </c>
      <c r="B30" s="11" t="n">
        <f aca="false">'Entity Tuning'!F47</f>
        <v>11</v>
      </c>
      <c r="C30" s="11" t="n">
        <f aca="false">'Entity Tuning'!G47</f>
        <v>17</v>
      </c>
      <c r="D30" s="11" t="n">
        <f aca="false">'Entity Tuning'!H47</f>
        <v>29</v>
      </c>
      <c r="E30" s="11" t="n">
        <f aca="false">'Entity Tuning'!I47</f>
        <v>14</v>
      </c>
      <c r="F30" s="11" t="n">
        <f aca="false">'Entity Tuning'!J47</f>
        <v>22</v>
      </c>
      <c r="G30" s="11" t="n">
        <f aca="false">'Entity Tuning'!K47</f>
        <v>33</v>
      </c>
      <c r="H30" s="19" t="str">
        <f aca="false">'Entity Tuning'!B47</f>
        <v>Normal</v>
      </c>
    </row>
    <row r="31" customFormat="false" ht="15" hidden="false" customHeight="false" outlineLevel="0" collapsed="false">
      <c r="A31" s="13" t="s">
        <v>209</v>
      </c>
      <c r="B31" s="14" t="n">
        <f aca="false">'Entity Tuning'!F48</f>
        <v>11</v>
      </c>
      <c r="C31" s="14" t="n">
        <f aca="false">'Entity Tuning'!G48</f>
        <v>17</v>
      </c>
      <c r="D31" s="14" t="n">
        <f aca="false">'Entity Tuning'!H48</f>
        <v>29</v>
      </c>
      <c r="E31" s="14" t="n">
        <f aca="false">'Entity Tuning'!I48</f>
        <v>14</v>
      </c>
      <c r="F31" s="14" t="n">
        <f aca="false">'Entity Tuning'!J48</f>
        <v>22</v>
      </c>
      <c r="G31" s="14" t="n">
        <f aca="false">'Entity Tuning'!K48</f>
        <v>33</v>
      </c>
      <c r="H31" s="21" t="str">
        <f aca="false">'Entity Tuning'!B48</f>
        <v>Normal</v>
      </c>
    </row>
    <row r="32" customFormat="false" ht="15" hidden="false" customHeight="false" outlineLevel="0" collapsed="false">
      <c r="A32" s="10" t="s">
        <v>212</v>
      </c>
      <c r="B32" s="11" t="n">
        <f aca="false">'Entity Tuning'!F49</f>
        <v>11</v>
      </c>
      <c r="C32" s="11" t="n">
        <f aca="false">'Entity Tuning'!G49</f>
        <v>17</v>
      </c>
      <c r="D32" s="11" t="n">
        <f aca="false">'Entity Tuning'!H49</f>
        <v>29</v>
      </c>
      <c r="E32" s="11" t="n">
        <f aca="false">'Entity Tuning'!I49</f>
        <v>14</v>
      </c>
      <c r="F32" s="11" t="n">
        <f aca="false">'Entity Tuning'!J49</f>
        <v>22</v>
      </c>
      <c r="G32" s="11" t="n">
        <f aca="false">'Entity Tuning'!K49</f>
        <v>33</v>
      </c>
      <c r="H32" s="19" t="str">
        <f aca="false">'Entity Tuning'!B49</f>
        <v>Normal</v>
      </c>
    </row>
    <row r="33" customFormat="false" ht="15" hidden="false" customHeight="false" outlineLevel="0" collapsed="false">
      <c r="A33" s="13" t="s">
        <v>215</v>
      </c>
      <c r="B33" s="14" t="n">
        <f aca="false">'Entity Tuning'!F50</f>
        <v>11</v>
      </c>
      <c r="C33" s="14" t="n">
        <f aca="false">'Entity Tuning'!G50</f>
        <v>17</v>
      </c>
      <c r="D33" s="14" t="n">
        <f aca="false">'Entity Tuning'!H50</f>
        <v>29</v>
      </c>
      <c r="E33" s="14" t="n">
        <f aca="false">'Entity Tuning'!I50</f>
        <v>14</v>
      </c>
      <c r="F33" s="14" t="n">
        <f aca="false">'Entity Tuning'!J50</f>
        <v>22</v>
      </c>
      <c r="G33" s="14" t="n">
        <f aca="false">'Entity Tuning'!K50</f>
        <v>33</v>
      </c>
      <c r="H33" s="21" t="str">
        <f aca="false">'Entity Tuning'!B50</f>
        <v>Normal</v>
      </c>
    </row>
    <row r="34" customFormat="false" ht="15" hidden="false" customHeight="false" outlineLevel="0" collapsed="false">
      <c r="A34" s="10" t="s">
        <v>217</v>
      </c>
      <c r="B34" s="11" t="n">
        <f aca="false">'Entity Tuning'!F51</f>
        <v>8</v>
      </c>
      <c r="C34" s="11" t="n">
        <f aca="false">'Entity Tuning'!G51</f>
        <v>13</v>
      </c>
      <c r="D34" s="11" t="n">
        <f aca="false">'Entity Tuning'!H51</f>
        <v>22</v>
      </c>
      <c r="E34" s="11" t="n">
        <f aca="false">'Entity Tuning'!I51</f>
        <v>10</v>
      </c>
      <c r="F34" s="11" t="n">
        <f aca="false">'Entity Tuning'!J51</f>
        <v>17</v>
      </c>
      <c r="G34" s="11" t="n">
        <f aca="false">'Entity Tuning'!K51</f>
        <v>25</v>
      </c>
      <c r="H34" s="19" t="str">
        <f aca="false">'Entity Tuning'!B51</f>
        <v>Elite</v>
      </c>
    </row>
    <row r="35" customFormat="false" ht="15" hidden="false" customHeight="false" outlineLevel="0" collapsed="false">
      <c r="A35" s="13" t="s">
        <v>221</v>
      </c>
      <c r="B35" s="14" t="n">
        <f aca="false">'Entity Tuning'!F52</f>
        <v>8</v>
      </c>
      <c r="C35" s="14" t="n">
        <f aca="false">'Entity Tuning'!G52</f>
        <v>13</v>
      </c>
      <c r="D35" s="14" t="n">
        <f aca="false">'Entity Tuning'!H52</f>
        <v>22</v>
      </c>
      <c r="E35" s="14" t="n">
        <f aca="false">'Entity Tuning'!I52</f>
        <v>10</v>
      </c>
      <c r="F35" s="14" t="n">
        <f aca="false">'Entity Tuning'!J52</f>
        <v>17</v>
      </c>
      <c r="G35" s="14" t="n">
        <f aca="false">'Entity Tuning'!K52</f>
        <v>25</v>
      </c>
      <c r="H35" s="21" t="str">
        <f aca="false">'Entity Tuning'!B52</f>
        <v>Elite</v>
      </c>
    </row>
    <row r="36" customFormat="false" ht="15" hidden="false" customHeight="false" outlineLevel="0" collapsed="false">
      <c r="A36" s="10" t="s">
        <v>224</v>
      </c>
      <c r="B36" s="11" t="n">
        <f aca="false">'Entity Tuning'!F53</f>
        <v>13</v>
      </c>
      <c r="C36" s="11" t="n">
        <f aca="false">'Entity Tuning'!G53</f>
        <v>20</v>
      </c>
      <c r="D36" s="11" t="n">
        <f aca="false">'Entity Tuning'!H53</f>
        <v>34</v>
      </c>
      <c r="E36" s="11" t="n">
        <f aca="false">'Entity Tuning'!I53</f>
        <v>16</v>
      </c>
      <c r="F36" s="11" t="n">
        <f aca="false">'Entity Tuning'!J53</f>
        <v>27</v>
      </c>
      <c r="G36" s="11" t="n">
        <f aca="false">'Entity Tuning'!K53</f>
        <v>39</v>
      </c>
      <c r="H36" s="19" t="str">
        <f aca="false">'Entity Tuning'!B53</f>
        <v>Boss</v>
      </c>
    </row>
    <row r="37" customFormat="false" ht="15" hidden="false" customHeight="false" outlineLevel="0" collapsed="false">
      <c r="A37" s="13" t="s">
        <v>228</v>
      </c>
      <c r="B37" s="14" t="n">
        <f aca="false">'Entity Tuning'!F54</f>
        <v>9</v>
      </c>
      <c r="C37" s="14" t="n">
        <f aca="false">'Entity Tuning'!G54</f>
        <v>14</v>
      </c>
      <c r="D37" s="14" t="n">
        <f aca="false">'Entity Tuning'!H54</f>
        <v>23</v>
      </c>
      <c r="E37" s="14" t="n">
        <f aca="false">'Entity Tuning'!I54</f>
        <v>11</v>
      </c>
      <c r="F37" s="14" t="n">
        <f aca="false">'Entity Tuning'!J54</f>
        <v>18</v>
      </c>
      <c r="G37" s="14" t="n">
        <f aca="false">'Entity Tuning'!K54</f>
        <v>26</v>
      </c>
      <c r="H37" s="21" t="str">
        <f aca="false">'Entity Tuning'!B54</f>
        <v>Boss</v>
      </c>
    </row>
    <row r="38" customFormat="false" ht="15" hidden="false" customHeight="false" outlineLevel="0" collapsed="false">
      <c r="A38" s="10" t="s">
        <v>231</v>
      </c>
      <c r="B38" s="11" t="n">
        <f aca="false">'Entity Tuning'!F55</f>
        <v>19</v>
      </c>
      <c r="C38" s="11" t="n">
        <f aca="false">'Entity Tuning'!G55</f>
        <v>30</v>
      </c>
      <c r="D38" s="11" t="n">
        <f aca="false">'Entity Tuning'!H55</f>
        <v>51</v>
      </c>
      <c r="E38" s="11" t="n">
        <f aca="false">'Entity Tuning'!I55</f>
        <v>24</v>
      </c>
      <c r="F38" s="11" t="n">
        <f aca="false">'Entity Tuning'!J55</f>
        <v>40</v>
      </c>
      <c r="G38" s="11" t="n">
        <f aca="false">'Entity Tuning'!K55</f>
        <v>58</v>
      </c>
      <c r="H38" s="19" t="str">
        <f aca="false">'Entity Tuning'!B55</f>
        <v>Boss</v>
      </c>
    </row>
  </sheetData>
  <mergeCells count="6">
    <mergeCell ref="A1:H1"/>
    <mergeCell ref="A3:H3"/>
    <mergeCell ref="A4:H4"/>
    <mergeCell ref="A13:D13"/>
    <mergeCell ref="A27:H27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</cols>
  <sheetData>
    <row r="1" customFormat="false" ht="30" hidden="false" customHeight="true" outlineLevel="0" collapsed="false">
      <c r="A1" s="6" t="s">
        <v>570</v>
      </c>
      <c r="B1" s="6"/>
      <c r="C1" s="6"/>
      <c r="D1" s="6"/>
    </row>
    <row r="3" customFormat="false" ht="21" hidden="false" customHeight="true" outlineLevel="0" collapsed="false">
      <c r="A3" s="7" t="s">
        <v>571</v>
      </c>
      <c r="B3" s="7"/>
      <c r="C3" s="7"/>
      <c r="D3" s="7"/>
    </row>
    <row r="4" customFormat="false" ht="15" hidden="false" customHeight="false" outlineLevel="0" collapsed="false">
      <c r="A4" s="8" t="s">
        <v>0</v>
      </c>
      <c r="B4" s="9" t="s">
        <v>1</v>
      </c>
      <c r="C4" s="9" t="s">
        <v>68</v>
      </c>
      <c r="D4" s="9" t="s">
        <v>3</v>
      </c>
    </row>
    <row r="5" customFormat="false" ht="15" hidden="false" customHeight="false" outlineLevel="0" collapsed="false">
      <c r="A5" s="10" t="s">
        <v>572</v>
      </c>
      <c r="B5" s="11" t="n">
        <v>20</v>
      </c>
      <c r="C5" s="12" t="s">
        <v>573</v>
      </c>
      <c r="D5" s="12"/>
    </row>
    <row r="6" customFormat="false" ht="15" hidden="false" customHeight="false" outlineLevel="0" collapsed="false">
      <c r="A6" s="13" t="s">
        <v>574</v>
      </c>
      <c r="B6" s="14" t="n">
        <v>40</v>
      </c>
      <c r="C6" s="15" t="s">
        <v>575</v>
      </c>
      <c r="D6" s="15"/>
    </row>
    <row r="7" customFormat="false" ht="15" hidden="false" customHeight="false" outlineLevel="0" collapsed="false">
      <c r="A7" s="10" t="s">
        <v>576</v>
      </c>
      <c r="B7" s="11" t="n">
        <v>80</v>
      </c>
      <c r="C7" s="12" t="s">
        <v>577</v>
      </c>
      <c r="D7" s="12"/>
    </row>
    <row r="8" customFormat="false" ht="15" hidden="false" customHeight="false" outlineLevel="0" collapsed="false">
      <c r="A8" s="13" t="s">
        <v>578</v>
      </c>
      <c r="B8" s="14" t="n">
        <v>1</v>
      </c>
      <c r="C8" s="15" t="s">
        <v>579</v>
      </c>
      <c r="D8" s="15"/>
    </row>
    <row r="9" customFormat="false" ht="15" hidden="false" customHeight="false" outlineLevel="0" collapsed="false">
      <c r="A9" s="10" t="s">
        <v>580</v>
      </c>
      <c r="B9" s="26" t="n">
        <v>0.6</v>
      </c>
      <c r="C9" s="12" t="s">
        <v>581</v>
      </c>
      <c r="D9" s="12" t="s">
        <v>582</v>
      </c>
    </row>
    <row r="10" customFormat="false" ht="15" hidden="false" customHeight="false" outlineLevel="0" collapsed="false">
      <c r="A10" s="13" t="s">
        <v>583</v>
      </c>
      <c r="B10" s="14" t="n">
        <v>3</v>
      </c>
      <c r="C10" s="15" t="s">
        <v>584</v>
      </c>
      <c r="D10" s="15" t="s">
        <v>585</v>
      </c>
    </row>
    <row r="11" customFormat="false" ht="15" hidden="false" customHeight="false" outlineLevel="0" collapsed="false">
      <c r="A11" s="10" t="s">
        <v>586</v>
      </c>
      <c r="B11" s="11" t="n">
        <v>15</v>
      </c>
      <c r="C11" s="12" t="s">
        <v>587</v>
      </c>
      <c r="D11" s="12"/>
    </row>
    <row r="12" customFormat="false" ht="15" hidden="false" customHeight="false" outlineLevel="0" collapsed="false">
      <c r="A12" s="13" t="s">
        <v>588</v>
      </c>
      <c r="B12" s="25" t="n">
        <v>0.5</v>
      </c>
      <c r="C12" s="15" t="s">
        <v>589</v>
      </c>
      <c r="D12" s="15"/>
    </row>
    <row r="14" customFormat="false" ht="21" hidden="false" customHeight="true" outlineLevel="0" collapsed="false">
      <c r="A14" s="7" t="s">
        <v>590</v>
      </c>
      <c r="B14" s="7"/>
      <c r="C14" s="7"/>
      <c r="D14" s="7"/>
    </row>
    <row r="15" customFormat="false" ht="15" hidden="false" customHeight="false" outlineLevel="0" collapsed="false">
      <c r="A15" s="8" t="s">
        <v>437</v>
      </c>
      <c r="B15" s="9" t="s">
        <v>591</v>
      </c>
      <c r="C15" s="9" t="s">
        <v>68</v>
      </c>
      <c r="D15" s="9" t="s">
        <v>3</v>
      </c>
    </row>
    <row r="16" customFormat="false" ht="15" hidden="false" customHeight="false" outlineLevel="0" collapsed="false">
      <c r="A16" s="10" t="s">
        <v>592</v>
      </c>
      <c r="B16" s="11" t="n">
        <v>45</v>
      </c>
      <c r="C16" s="12" t="s">
        <v>593</v>
      </c>
      <c r="D16" s="12"/>
    </row>
    <row r="17" customFormat="false" ht="15" hidden="false" customHeight="false" outlineLevel="0" collapsed="false">
      <c r="A17" s="13" t="s">
        <v>594</v>
      </c>
      <c r="B17" s="14" t="n">
        <v>70</v>
      </c>
      <c r="C17" s="15" t="s">
        <v>595</v>
      </c>
      <c r="D17" s="15"/>
    </row>
    <row r="18" customFormat="false" ht="15" hidden="false" customHeight="false" outlineLevel="0" collapsed="false">
      <c r="A18" s="10" t="s">
        <v>596</v>
      </c>
      <c r="B18" s="11" t="n">
        <v>100</v>
      </c>
      <c r="C18" s="12" t="s">
        <v>597</v>
      </c>
      <c r="D18" s="12"/>
    </row>
    <row r="20" customFormat="false" ht="21" hidden="false" customHeight="true" outlineLevel="0" collapsed="false">
      <c r="A20" s="7" t="s">
        <v>598</v>
      </c>
      <c r="B20" s="7"/>
      <c r="C20" s="7"/>
      <c r="D20" s="7"/>
    </row>
    <row r="21" customFormat="false" ht="15" hidden="false" customHeight="false" outlineLevel="0" collapsed="false">
      <c r="A21" s="8" t="s">
        <v>0</v>
      </c>
      <c r="B21" s="9" t="s">
        <v>1</v>
      </c>
      <c r="C21" s="9" t="s">
        <v>68</v>
      </c>
      <c r="D21" s="9" t="s">
        <v>3</v>
      </c>
    </row>
    <row r="22" customFormat="false" ht="15" hidden="false" customHeight="false" outlineLevel="0" collapsed="false">
      <c r="A22" s="10" t="s">
        <v>599</v>
      </c>
      <c r="B22" s="11" t="n">
        <v>55</v>
      </c>
      <c r="C22" s="12" t="s">
        <v>600</v>
      </c>
      <c r="D22" s="12"/>
    </row>
    <row r="23" customFormat="false" ht="15" hidden="false" customHeight="false" outlineLevel="0" collapsed="false">
      <c r="A23" s="13" t="s">
        <v>601</v>
      </c>
      <c r="B23" s="14" t="n">
        <v>25</v>
      </c>
      <c r="C23" s="15" t="s">
        <v>602</v>
      </c>
      <c r="D23" s="15"/>
    </row>
    <row r="24" customFormat="false" ht="15" hidden="false" customHeight="false" outlineLevel="0" collapsed="false">
      <c r="A24" s="10" t="s">
        <v>603</v>
      </c>
      <c r="B24" s="11" t="n">
        <f aca="false">B22+B23</f>
        <v>80</v>
      </c>
      <c r="C24" s="12" t="s">
        <v>27</v>
      </c>
      <c r="D24" s="12"/>
    </row>
    <row r="25" customFormat="false" ht="15" hidden="false" customHeight="false" outlineLevel="0" collapsed="false">
      <c r="A25" s="13" t="s">
        <v>604</v>
      </c>
      <c r="B25" s="14" t="n">
        <f aca="false">B22+2*B23</f>
        <v>105</v>
      </c>
      <c r="C25" s="15" t="s">
        <v>27</v>
      </c>
      <c r="D25" s="15"/>
    </row>
    <row r="26" customFormat="false" ht="15" hidden="false" customHeight="false" outlineLevel="0" collapsed="false">
      <c r="A26" s="10" t="s">
        <v>605</v>
      </c>
      <c r="B26" s="11" t="n">
        <v>2</v>
      </c>
      <c r="C26" s="12" t="s">
        <v>606</v>
      </c>
      <c r="D26" s="12" t="s">
        <v>607</v>
      </c>
    </row>
    <row r="27" customFormat="false" ht="15" hidden="false" customHeight="false" outlineLevel="0" collapsed="false">
      <c r="A27" s="13" t="s">
        <v>608</v>
      </c>
      <c r="B27" s="14" t="n">
        <v>30</v>
      </c>
      <c r="C27" s="15" t="s">
        <v>609</v>
      </c>
      <c r="D27" s="15"/>
    </row>
    <row r="28" customFormat="false" ht="15" hidden="false" customHeight="false" outlineLevel="0" collapsed="false">
      <c r="A28" s="10" t="s">
        <v>610</v>
      </c>
      <c r="B28" s="26" t="n">
        <v>0.4</v>
      </c>
      <c r="C28" s="12" t="s">
        <v>611</v>
      </c>
      <c r="D28" s="12" t="s">
        <v>612</v>
      </c>
    </row>
    <row r="29" customFormat="false" ht="15" hidden="false" customHeight="false" outlineLevel="0" collapsed="false">
      <c r="A29" s="13" t="s">
        <v>613</v>
      </c>
      <c r="B29" s="14" t="n">
        <v>80</v>
      </c>
      <c r="C29" s="15" t="s">
        <v>614</v>
      </c>
      <c r="D29" s="15" t="s">
        <v>615</v>
      </c>
    </row>
    <row r="31" customFormat="false" ht="21" hidden="false" customHeight="true" outlineLevel="0" collapsed="false">
      <c r="A31" s="7" t="s">
        <v>616</v>
      </c>
      <c r="B31" s="7"/>
      <c r="C31" s="7"/>
      <c r="D31" s="7"/>
    </row>
    <row r="32" customFormat="false" ht="15" hidden="false" customHeight="false" outlineLevel="0" collapsed="false">
      <c r="A32" s="8" t="s">
        <v>0</v>
      </c>
      <c r="B32" s="9" t="s">
        <v>1</v>
      </c>
      <c r="C32" s="9" t="s">
        <v>68</v>
      </c>
      <c r="D32" s="9" t="s">
        <v>3</v>
      </c>
    </row>
    <row r="33" customFormat="false" ht="15" hidden="false" customHeight="false" outlineLevel="0" collapsed="false">
      <c r="A33" s="10" t="s">
        <v>617</v>
      </c>
      <c r="B33" s="26" t="n">
        <v>0.4</v>
      </c>
      <c r="C33" s="12" t="s">
        <v>618</v>
      </c>
      <c r="D33" s="12" t="s">
        <v>619</v>
      </c>
    </row>
    <row r="34" customFormat="false" ht="15" hidden="false" customHeight="false" outlineLevel="0" collapsed="false">
      <c r="A34" s="13" t="s">
        <v>620</v>
      </c>
      <c r="B34" s="14" t="n">
        <v>35</v>
      </c>
      <c r="C34" s="15" t="s">
        <v>621</v>
      </c>
      <c r="D34" s="15" t="s">
        <v>622</v>
      </c>
    </row>
    <row r="35" customFormat="false" ht="15" hidden="false" customHeight="false" outlineLevel="0" collapsed="false">
      <c r="A35" s="10" t="s">
        <v>623</v>
      </c>
      <c r="B35" s="11" t="n">
        <v>3</v>
      </c>
      <c r="C35" s="12" t="s">
        <v>624</v>
      </c>
      <c r="D35" s="12"/>
    </row>
    <row r="37" customFormat="false" ht="21" hidden="false" customHeight="true" outlineLevel="0" collapsed="false">
      <c r="A37" s="7" t="s">
        <v>625</v>
      </c>
      <c r="B37" s="7"/>
      <c r="C37" s="7"/>
      <c r="D37" s="7"/>
    </row>
    <row r="38" customFormat="false" ht="15" hidden="false" customHeight="false" outlineLevel="0" collapsed="false">
      <c r="A38" s="8" t="s">
        <v>0</v>
      </c>
      <c r="B38" s="9" t="s">
        <v>1</v>
      </c>
      <c r="C38" s="9" t="s">
        <v>68</v>
      </c>
      <c r="D38" s="9" t="s">
        <v>3</v>
      </c>
    </row>
    <row r="39" customFormat="false" ht="12.65" hidden="false" customHeight="false" outlineLevel="0" collapsed="false">
      <c r="A39" s="10" t="s">
        <v>626</v>
      </c>
      <c r="B39" s="26" t="n">
        <v>0.05</v>
      </c>
      <c r="C39" s="12" t="s">
        <v>627</v>
      </c>
      <c r="D39" s="12" t="s">
        <v>628</v>
      </c>
    </row>
    <row r="40" customFormat="false" ht="15" hidden="false" customHeight="false" outlineLevel="0" collapsed="false">
      <c r="A40" s="13" t="s">
        <v>629</v>
      </c>
      <c r="B40" s="25" t="n">
        <v>0.25</v>
      </c>
      <c r="C40" s="15" t="s">
        <v>630</v>
      </c>
      <c r="D40" s="15"/>
    </row>
  </sheetData>
  <mergeCells count="6">
    <mergeCell ref="A1:D1"/>
    <mergeCell ref="A3:D3"/>
    <mergeCell ref="A14:D14"/>
    <mergeCell ref="A20:D20"/>
    <mergeCell ref="A31:D31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4"/>
    <col collapsed="false" customWidth="true" hidden="false" outlineLevel="0" max="4" min="4" style="0" width="50"/>
  </cols>
  <sheetData>
    <row r="1" customFormat="false" ht="30" hidden="false" customHeight="true" outlineLevel="0" collapsed="false">
      <c r="A1" s="6" t="s">
        <v>631</v>
      </c>
      <c r="B1" s="6"/>
      <c r="C1" s="6"/>
      <c r="D1" s="6"/>
    </row>
    <row r="3" customFormat="false" ht="21" hidden="false" customHeight="true" outlineLevel="0" collapsed="false">
      <c r="A3" s="7" t="s">
        <v>632</v>
      </c>
      <c r="B3" s="7"/>
      <c r="C3" s="7"/>
      <c r="D3" s="7"/>
    </row>
    <row r="4" customFormat="false" ht="18.75" hidden="false" customHeight="true" outlineLevel="0" collapsed="false">
      <c r="A4" s="18" t="s">
        <v>633</v>
      </c>
      <c r="B4" s="18"/>
      <c r="C4" s="18"/>
      <c r="D4" s="18"/>
    </row>
    <row r="5" customFormat="false" ht="15" hidden="false" customHeight="false" outlineLevel="0" collapsed="false">
      <c r="A5" s="8" t="s">
        <v>634</v>
      </c>
      <c r="B5" s="9" t="s">
        <v>179</v>
      </c>
      <c r="C5" s="9" t="s">
        <v>180</v>
      </c>
      <c r="D5" s="9" t="s">
        <v>3</v>
      </c>
    </row>
    <row r="6" customFormat="false" ht="15" hidden="false" customHeight="false" outlineLevel="0" collapsed="false">
      <c r="A6" s="10" t="s">
        <v>635</v>
      </c>
      <c r="B6" s="26" t="n">
        <v>1</v>
      </c>
      <c r="C6" s="26" t="n">
        <v>0.99</v>
      </c>
      <c r="D6" s="12"/>
    </row>
    <row r="7" customFormat="false" ht="15" hidden="false" customHeight="false" outlineLevel="0" collapsed="false">
      <c r="A7" s="13" t="s">
        <v>636</v>
      </c>
      <c r="B7" s="25" t="n">
        <v>0.92</v>
      </c>
      <c r="C7" s="25" t="n">
        <v>0.64</v>
      </c>
      <c r="D7" s="15"/>
    </row>
    <row r="8" customFormat="false" ht="15" hidden="false" customHeight="false" outlineLevel="0" collapsed="false">
      <c r="A8" s="10" t="s">
        <v>637</v>
      </c>
      <c r="B8" s="26" t="n">
        <v>0.62</v>
      </c>
      <c r="C8" s="26" t="n">
        <v>0.14</v>
      </c>
      <c r="D8" s="12"/>
    </row>
    <row r="9" customFormat="false" ht="15" hidden="false" customHeight="false" outlineLevel="0" collapsed="false">
      <c r="A9" s="13" t="s">
        <v>638</v>
      </c>
      <c r="B9" s="25" t="n">
        <v>0.04</v>
      </c>
      <c r="C9" s="25" t="n">
        <v>0</v>
      </c>
      <c r="D9" s="15"/>
    </row>
    <row r="10" customFormat="false" ht="15" hidden="false" customHeight="false" outlineLevel="0" collapsed="false">
      <c r="A10" s="10" t="s">
        <v>639</v>
      </c>
      <c r="B10" s="26" t="n">
        <v>0.77</v>
      </c>
      <c r="C10" s="26" t="n">
        <v>0.25</v>
      </c>
      <c r="D10" s="12" t="s">
        <v>640</v>
      </c>
    </row>
    <row r="12" customFormat="false" ht="21" hidden="false" customHeight="true" outlineLevel="0" collapsed="false">
      <c r="A12" s="7" t="s">
        <v>641</v>
      </c>
      <c r="B12" s="7"/>
      <c r="C12" s="7"/>
      <c r="D12" s="7"/>
    </row>
    <row r="13" customFormat="false" ht="18.75" hidden="false" customHeight="true" outlineLevel="0" collapsed="false">
      <c r="A13" s="18" t="s">
        <v>642</v>
      </c>
      <c r="B13" s="18"/>
      <c r="C13" s="18"/>
      <c r="D13" s="18"/>
    </row>
    <row r="14" customFormat="false" ht="15" hidden="false" customHeight="false" outlineLevel="0" collapsed="false">
      <c r="A14" s="8" t="s">
        <v>81</v>
      </c>
      <c r="B14" s="9" t="s">
        <v>636</v>
      </c>
      <c r="C14" s="9" t="s">
        <v>637</v>
      </c>
      <c r="D14" s="9" t="s">
        <v>3</v>
      </c>
    </row>
    <row r="15" customFormat="false" ht="15" hidden="false" customHeight="false" outlineLevel="0" collapsed="false">
      <c r="A15" s="10" t="s">
        <v>93</v>
      </c>
      <c r="B15" s="26" t="n">
        <v>0.96</v>
      </c>
      <c r="C15" s="26" t="n">
        <v>0.67</v>
      </c>
      <c r="D15" s="12"/>
    </row>
    <row r="16" customFormat="false" ht="15" hidden="false" customHeight="false" outlineLevel="0" collapsed="false">
      <c r="A16" s="13" t="s">
        <v>98</v>
      </c>
      <c r="B16" s="25" t="n">
        <v>0.97</v>
      </c>
      <c r="C16" s="25" t="n">
        <v>0.74</v>
      </c>
      <c r="D16" s="15"/>
    </row>
    <row r="17" customFormat="false" ht="15" hidden="false" customHeight="false" outlineLevel="0" collapsed="false">
      <c r="A17" s="10" t="s">
        <v>103</v>
      </c>
      <c r="B17" s="26" t="n">
        <v>0.98</v>
      </c>
      <c r="C17" s="26" t="n">
        <v>0.67</v>
      </c>
      <c r="D17" s="12"/>
    </row>
    <row r="18" customFormat="false" ht="15" hidden="false" customHeight="false" outlineLevel="0" collapsed="false">
      <c r="A18" s="13" t="s">
        <v>108</v>
      </c>
      <c r="B18" s="25" t="n">
        <v>0.98</v>
      </c>
      <c r="C18" s="25" t="n">
        <v>0.58</v>
      </c>
      <c r="D18" s="15"/>
    </row>
    <row r="19" customFormat="false" ht="15" hidden="false" customHeight="false" outlineLevel="0" collapsed="false">
      <c r="A19" s="10" t="s">
        <v>113</v>
      </c>
      <c r="B19" s="26" t="n">
        <v>0.96</v>
      </c>
      <c r="C19" s="26" t="n">
        <v>0.48</v>
      </c>
      <c r="D19" s="12"/>
    </row>
  </sheetData>
  <mergeCells count="5">
    <mergeCell ref="A1:D1"/>
    <mergeCell ref="A3:D3"/>
    <mergeCell ref="A4:D4"/>
    <mergeCell ref="A12:D12"/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30" hidden="false" customHeight="true" outlineLevel="0" collapsed="false">
      <c r="A1" s="29" t="s">
        <v>643</v>
      </c>
      <c r="B1" s="29"/>
    </row>
    <row r="2" customFormat="false" ht="31.5" hidden="false" customHeight="true" outlineLevel="0" collapsed="false">
      <c r="A2" s="30" t="s">
        <v>644</v>
      </c>
      <c r="B2" s="31" t="s">
        <v>645</v>
      </c>
    </row>
    <row r="3" customFormat="false" ht="31.5" hidden="false" customHeight="true" outlineLevel="0" collapsed="false">
      <c r="A3" s="30" t="s">
        <v>646</v>
      </c>
      <c r="B3" s="31" t="s">
        <v>647</v>
      </c>
    </row>
    <row r="4" customFormat="false" ht="31.5" hidden="false" customHeight="true" outlineLevel="0" collapsed="false">
      <c r="A4" s="30" t="s">
        <v>648</v>
      </c>
      <c r="B4" s="31" t="s">
        <v>649</v>
      </c>
    </row>
    <row r="5" customFormat="false" ht="31.5" hidden="false" customHeight="true" outlineLevel="0" collapsed="false">
      <c r="A5" s="30" t="s">
        <v>650</v>
      </c>
      <c r="B5" s="31" t="s">
        <v>651</v>
      </c>
    </row>
    <row r="6" customFormat="false" ht="31.5" hidden="false" customHeight="true" outlineLevel="0" collapsed="false">
      <c r="A6" s="30" t="s">
        <v>652</v>
      </c>
      <c r="B6" s="31" t="s">
        <v>653</v>
      </c>
    </row>
    <row r="7" customFormat="false" ht="31.5" hidden="false" customHeight="true" outlineLevel="0" collapsed="false">
      <c r="A7" s="30" t="s">
        <v>654</v>
      </c>
      <c r="B7" s="31" t="s">
        <v>655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2026-10-09T07:14:03Z</dcterms:created>
  <dc:creator>openpyxl</dc:creator>
  <dc:description/>
  <dc:language>en-US</dc:language>
  <cp:lastModifiedBy/>
  <dcterms:modified xsi:type="dcterms:W3CDTF">2026-10-09T07:14:03Z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