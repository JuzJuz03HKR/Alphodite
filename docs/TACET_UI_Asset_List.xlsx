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50.png" ContentType="image/png"/>
  <Override PartName="/xl/media/image47.png" ContentType="image/png"/>
  <Override PartName="/xl/media/image10.png" ContentType="image/png"/>
  <Override PartName="/xl/media/image1.png" ContentType="image/png"/>
  <Override PartName="/xl/media/image33.png" ContentType="image/png"/>
  <Override PartName="/xl/media/image38.png" ContentType="image/png"/>
  <Override PartName="/xl/media/image6.png" ContentType="image/png"/>
  <Override PartName="/xl/media/image15.png" ContentType="image/png"/>
  <Override PartName="/xl/media/image37.png" ContentType="image/png"/>
  <Override PartName="/xl/media/image5.png" ContentType="image/png"/>
  <Override PartName="/xl/media/image14.png" ContentType="image/png"/>
  <Override PartName="/xl/media/image19.png" ContentType="image/png"/>
  <Override PartName="/xl/media/image61.png" ContentType="image/png"/>
  <Override PartName="/xl/media/image21.png" ContentType="image/png"/>
  <Override PartName="/xl/media/image58.png" ContentType="image/png"/>
  <Override PartName="/xl/media/image22.png" ContentType="image/png"/>
  <Override PartName="/xl/media/image59.png" ContentType="image/png"/>
  <Override PartName="/xl/media/image66.png" ContentType="image/png"/>
  <Override PartName="/xl/media/image29.png" ContentType="image/png"/>
  <Override PartName="/xl/media/image65.png" ContentType="image/png"/>
  <Override PartName="/xl/media/image28.png" ContentType="image/png"/>
  <Override PartName="/xl/media/image64.png" ContentType="image/png"/>
  <Override PartName="/xl/media/image27.png" ContentType="image/png"/>
  <Override PartName="/xl/media/image63.png" ContentType="image/png"/>
  <Override PartName="/xl/media/image26.png" ContentType="image/png"/>
  <Override PartName="/xl/media/image23.png" ContentType="image/png"/>
  <Override PartName="/xl/media/image60.png" ContentType="image/png"/>
  <Override PartName="/xl/media/image62.png" ContentType="image/png"/>
  <Override PartName="/xl/media/image25.png" ContentType="image/png"/>
  <Override PartName="/xl/media/image24.png" ContentType="image/png"/>
  <Override PartName="/xl/media/image16.png" ContentType="image/png"/>
  <Override PartName="/xl/media/image7.png" ContentType="image/png"/>
  <Override PartName="/xl/media/image39.png" ContentType="image/png"/>
  <Override PartName="/xl/media/image34.png" ContentType="image/png"/>
  <Override PartName="/xl/media/image2.png" ContentType="image/png"/>
  <Override PartName="/xl/media/image11.png" ContentType="image/png"/>
  <Override PartName="/xl/media/image48.png" ContentType="image/png"/>
  <Override PartName="/xl/media/image17.png" ContentType="image/png"/>
  <Override PartName="/xl/media/image8.png" ContentType="image/png"/>
  <Override PartName="/xl/media/image35.png" ContentType="image/png"/>
  <Override PartName="/xl/media/image3.png" ContentType="image/png"/>
  <Override PartName="/xl/media/image12.png" ContentType="image/png"/>
  <Override PartName="/xl/media/image49.png" ContentType="image/png"/>
  <Override PartName="/xl/media/image20.png" ContentType="image/png"/>
  <Override PartName="/xl/media/image57.png" ContentType="image/png"/>
  <Override PartName="/xl/media/image18.png" ContentType="image/png"/>
  <Override PartName="/xl/media/image9.png" ContentType="image/png"/>
  <Override PartName="/xl/media/image36.png" ContentType="image/png"/>
  <Override PartName="/xl/media/image4.png" ContentType="image/png"/>
  <Override PartName="/xl/media/image13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อ่านก่อน" sheetId="1" state="visible" r:id="rId3"/>
    <sheet name="UI Art" sheetId="2" state="visible" r:id="rId4"/>
  </sheets>
  <definedNames>
    <definedName function="false" hidden="false" localSheetId="1" name="_xlnm.Print_Titles" vbProcedure="false">'UI Art'!$1:$2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<sst xmlns="http://schemas.openxmlformats.org/spreadsheetml/2006/main" count="1487" uniqueCount="805">
  <si>
    <t xml:space="preserve">TACET 4'33 — UI Asset List (UI skin ทั้งชุด)</t>
  </si>
  <si>
    <t xml:space="preserve">ทำเมื่อ</t>
  </si>
  <si>
    <t xml:space="preserve">8 ต.ค. 2026 จากโค้ด branch Alpha6 (รอบ 15) · ขนาดทุกตัวอ่านจากโค้ดจริง</t>
  </si>
  <si>
    <t xml:space="preserve">สำคัญ : ตอนนี้เกมยังไม่โหลดภาพ UI</t>
  </si>
  <si>
    <t xml:space="preserve">ปุ่ม กรอบ แถบ ไอคอน ทุกชิ้นตอนนี้โค้ดวาดเอง (Core/Ui.cs) · ฝ่ายโค้ดต้องเพิ่มช่องโหลดภาพก่อน ไฟล์ที่วาดมาถึงจะขึ้นในเกม · ไฟล์ไหนยังไม่มี เกมใช้แบบโค้ดเดิมต่อ (ไม่พัง)</t>
  </si>
  <si>
    <t xml:space="preserve">คอลัมน์ที่ทีมอาร์ตกรอก (สีเหลือง)</t>
  </si>
  <si>
    <t xml:space="preserve">สถานะ (Status) · กำหนดส่ง (Start - Deadline เช่น 10.Oct.69 - 15.Oct.69) · ที่อยู่ไฟล์ส่งงาน (Link) · ใส่รูปจริงแทนรูปตัวอย่างเมื่อวาดเสร็จ</t>
  </si>
  <si>
    <t xml:space="preserve">รูปตัวอย่าง</t>
  </si>
  <si>
    <t xml:space="preserve">ภาพหน้าจอของ UI ตอนนี้ (โค้ดวาด) บอกตำแหน่งและขนาด · แคปจากเครื่อง cloud ใช้ฟอนต์แทน (Liberation / DejaVu) ตัวหนังสือจึงต่างจากเกมจริงเล็กน้อย</t>
  </si>
  <si>
    <t xml:space="preserve">ขนาดภาพ (Scale)</t>
  </si>
  <si>
    <t xml:space="preserve">ขนาด canvas ที่ควรวาด = 2 เท่าของขนาดในเกม · เกมวาดทั้งจอที่ 1280×720 แล้วย่อภาพลงเอง</t>
  </si>
  <si>
    <t xml:space="preserve">ความละเอียด</t>
  </si>
  <si>
    <t xml:space="preserve">300 ตามมาตรฐานทีม · ในเกม dpi ไม่มีผล ใช้แค่จำนวน px</t>
  </si>
  <si>
    <t xml:space="preserve">ไฟล์ส่ง</t>
  </si>
  <si>
    <t xml:space="preserve">PNG พื้นโปร่ง (ภาพเต็มจอไม่ต้องโปร่ง) + PSD ต้นฉบับ · ชื่อไฟล์ PNG ใช้ตามคอลัมน์ "ชื่อไฟล์ในเกม" (Code ID ตัวพิมพ์เล็ก) เพื่อให้ฝ่ายโค้ดใส่ได้ทันที</t>
  </si>
  <si>
    <t xml:space="preserve">สี</t>
  </si>
  <si>
    <t xml:space="preserve">เกมเป็นขาวดำ (โทนเทา) ทั้งเกม · ราว 70% ของจอใกล้ดำ · ขาวล้วนใช้กับของที่ต้องมองตอนนั้น · สีเน้นมีจุดเดียว (Palette.Accent ตอนนี้เป็นขาว) · ภาพสีจะโดดออกจาก UI</t>
  </si>
  <si>
    <t xml:space="preserve">ไม่ต้องใส่ตัวหนังสือ</t>
  </si>
  <si>
    <t xml:space="preserve">คำบนปุ่ม ป้าย ตัวเลข ชื่อคีย์ โค้ดเขียนทับเอง (เปลี่ยนภาษาได้ภายหลัง) · ยกเว้นโลโก้ Ot_Logo_001</t>
  </si>
  <si>
    <t xml:space="preserve">ปุ่ม 3-slice / แถบ 3-slice</t>
  </si>
  <si>
    <t xml:space="preserve">ภาพเดียวที่โค้ดตัดเป็น หัว | กลาง | ท้าย · หัวกับท้ายไม่ยืด ตรงกลางยืดตามความกว้าง → วาดหัวท้ายให้จบในความกว้างที่เขียนในหมายเหตุ ตรงกลางเป็นลายที่ยืดแล้วไม่เพี้ยน</t>
  </si>
  <si>
    <t xml:space="preserve">กรอบ 9-slice</t>
  </si>
  <si>
    <t xml:space="preserve">ภาพเดียวที่โค้ดตัดเป็น 3×3 · มุม 4 มุมไม่ยืด ขอบยืดตามยาว ตรงกลางยืดทั้งสองทาง → ลายละเอียดไว้ที่มุม ขอบและกลางเรียบ</t>
  </si>
  <si>
    <t xml:space="preserve">สถานะ (ปกติ / เมาส์ชี้ / เลือก)</t>
  </si>
  <si>
    <t xml:space="preserve">ทุกสถานะใช้ canvas ขนาดเท่ากันทุก px ให้วางทับกันได้ · สถานะ "กดไม่ได้" โค้ดทำจางเอง ไม่ต้องวาด</t>
  </si>
  <si>
    <t xml:space="preserve">ลำดับ</t>
  </si>
  <si>
    <t xml:space="preserve">⭐⭐⭐ เห็นตลอดเกม ทำก่อน · ⭐⭐ เห็นบ่อย · ⭐ เพิ่มความสวย ทำทีหลัง</t>
  </si>
  <si>
    <t xml:space="preserve">ไม่อยู่ในรายการนี้ (โค้ดวาดต่อ หรืออยู่ในรายการอื่น)</t>
  </si>
  <si>
    <t xml:space="preserve">โน้ตในดวล วงแหวนจับเวลา จุดตี (ชนิดโน้ตล็อกไว้ ใช้ร่วมกับ Tutorial) · ความมืดของ TACET สุริยุปราคา คลื่นความเงียบ แถบเปลี่ยนหน้า ม่าน เอฟเฟกต์ตอนตี · การ์ด MOVEMENT ตอนเปิดชั้น · ไม้บาตอง มือวาทยากร ตัวละคร ศัตรู ฉาก ภาพเส้นทาง/เหตุการณ์ (อยู่ใน docs/ASSET_LIST.md แล้ว) · ฟอนต์</t>
  </si>
  <si>
    <t xml:space="preserve">ไม่ได้ใส่ (ต้องถามผู้ใช้ก่อน)</t>
  </si>
  <si>
    <t xml:space="preserve">ไอคอนกลุ่มเครื่อง STRINGS / WINDS / PERCUSSION — ผู้ใช้ตัดสินใจ 29 ก.ย. ให้ใช้เป็นคำ</t>
  </si>
  <si>
    <t xml:space="preserve">จำนวนไฟล์ (นับจากแท็บ UI Art)</t>
  </si>
  <si>
    <t xml:space="preserve">Button (Bt)</t>
  </si>
  <si>
    <t xml:space="preserve">Icon (Ic)</t>
  </si>
  <si>
    <t xml:space="preserve">BoxFrame (Bf)</t>
  </si>
  <si>
    <t xml:space="preserve">TabBar (Tb)</t>
  </si>
  <si>
    <t xml:space="preserve">Other (Ot)</t>
  </si>
  <si>
    <t xml:space="preserve">รวม</t>
  </si>
  <si>
    <t xml:space="preserve">เสร็จแล้ว (Done)</t>
  </si>
  <si>
    <t xml:space="preserve">ชื่อไฟล์</t>
  </si>
  <si>
    <t xml:space="preserve">ชื่อตัวละคร/ไอเทม</t>
  </si>
  <si>
    <t xml:space="preserve">ขนาดภาพ</t>
  </si>
  <si>
    <t xml:space="preserve">รูปแบบภาพ</t>
  </si>
  <si>
    <t xml:space="preserve">สถานะการดำเนินงาน</t>
  </si>
  <si>
    <t xml:space="preserve">กำหนดส่ง</t>
  </si>
  <si>
    <t xml:space="preserve">ชนิดไฟล์ที่ส่ง</t>
  </si>
  <si>
    <t xml:space="preserve">ที่อยู่ไฟล์ส่งงาน</t>
  </si>
  <si>
    <t xml:space="preserve">ขนาดในเกม (px)</t>
  </si>
  <si>
    <t xml:space="preserve">ใช้ที่หน้า</t>
  </si>
  <si>
    <t xml:space="preserve">ชื่อไฟล์ในเกม (ฝ่ายโค้ด)</t>
  </si>
  <si>
    <t xml:space="preserve">หมายเหตุ</t>
  </si>
  <si>
    <t xml:space="preserve">Name Code ID</t>
  </si>
  <si>
    <t xml:space="preserve">Code ID</t>
  </si>
  <si>
    <t xml:space="preserve">Picture</t>
  </si>
  <si>
    <t xml:space="preserve">Name</t>
  </si>
  <si>
    <t xml:space="preserve">Scale</t>
  </si>
  <si>
    <t xml:space="preserve">Resolution</t>
  </si>
  <si>
    <t xml:space="preserve">Type</t>
  </si>
  <si>
    <t xml:space="preserve">Status</t>
  </si>
  <si>
    <t xml:space="preserve">Start - Deadline</t>
  </si>
  <si>
    <t xml:space="preserve">.File</t>
  </si>
  <si>
    <t xml:space="preserve">Link</t>
  </si>
  <si>
    <t xml:space="preserve">In-game size</t>
  </si>
  <si>
    <t xml:space="preserve">Where</t>
  </si>
  <si>
    <t xml:space="preserve">Game file</t>
  </si>
  <si>
    <t xml:space="preserve">Priority</t>
  </si>
  <si>
    <t xml:space="preserve">Comment</t>
  </si>
  <si>
    <t xml:space="preserve">Button_Name</t>
  </si>
  <si>
    <t xml:space="preserve">Button = Bt</t>
  </si>
  <si>
    <t xml:space="preserve">Bt_Primary_001</t>
  </si>
  <si>
    <t xml:space="preserve">Primary button (normal)</t>
  </si>
  <si>
    <t xml:space="preserve">680*112</t>
  </si>
  <si>
    <t xml:space="preserve">ปุ่ม 3-slice</t>
  </si>
  <si>
    <t xml:space="preserve">NonStart</t>
  </si>
  <si>
    <t xml:space="preserve">PSD, PNG</t>
  </si>
  <si>
    <t xml:space="preserve">กว้าง 210–340 · สูง 48–56</t>
  </si>
  <si>
    <t xml:space="preserve">ปุ่มหลักทุกหน้า : TAKE THE BATON · NEW RUN · CONTINUE · NEXT · LEAVE THE SHOP · MOVE ON · ACCEPT · BACK TO ROUTE · TAKE THE STAGE · RETURN TO TITLE · CURTAIN CALL · ปุ่มที่เลือกในกล่องถาม</t>
  </si>
  <si>
    <t xml:space="preserve">Content/Art/UI/bt_primary_001.png</t>
  </si>
  <si>
    <t xml:space="preserve">⭐⭐⭐</t>
  </si>
  <si>
    <t xml:space="preserve">ปุ่มหลัก (ทึบ สว่าง) ขอบซ้าย/ขวาเฉียง · ไม่ต้องใส่ตัวหนังสือ โค้ดเขียนคำทับเอง และกรอบคีย์ (ENTER) เอง · หัวและท้าย 56 px ในไฟล์ห้ามยืด ตรงกลางยืดได้ · ปุ่มกดไม่ได้โค้ดทำจาง 35% เอง ไม่ต้องวาด</t>
  </si>
  <si>
    <t xml:space="preserve">Icon = Ic</t>
  </si>
  <si>
    <t xml:space="preserve">Bt_Primary_002</t>
  </si>
  <si>
    <t xml:space="preserve">Primary button (hover)</t>
  </si>
  <si>
    <t xml:space="preserve">เท่า Bt_Primary_001</t>
  </si>
  <si>
    <t xml:space="preserve">เหมือน Bt_Primary_001 ตอนเมาส์ชี้</t>
  </si>
  <si>
    <t xml:space="preserve">Content/Art/UI/bt_primary_002.png</t>
  </si>
  <si>
    <t xml:space="preserve">สถานะเมาส์ชี้ ขนาดเท่าปกติทุก px (ตอนนี้โค้ดทำให้ขาวขึ้น + เลื่อนขวา 4 px + เพชรเล็กชี้ทางซ้าย)</t>
  </si>
  <si>
    <t xml:space="preserve">BoxFrame = Bf</t>
  </si>
  <si>
    <t xml:space="preserve">Bt_Secondary_001</t>
  </si>
  <si>
    <t xml:space="preserve">Secondary button (normal)</t>
  </si>
  <si>
    <t xml:space="preserve">520*100</t>
  </si>
  <si>
    <t xml:space="preserve">กว้าง 66–260 · สูง 34–50</t>
  </si>
  <si>
    <t xml:space="preserve">BACK · SKIP · TITLE · PREV · REFUSE · THE BAND · EXTRAS · TAKE 15 SHARDS · ปุ่มที่ไม่ได้เลือกในกล่องถาม · ปุ่ม TEST หน้าตั้งค่า (66×34)</t>
  </si>
  <si>
    <t xml:space="preserve">Content/Art/UI/bt_secondary_001.png</t>
  </si>
  <si>
    <t xml:space="preserve">ปุ่มรอง (พื้นเข้ม มีเส้นขอบ) · ไม่ต้องใส่ตัวหนังสือ โค้ดเขียนคำทับเอง · หัวและท้าย 56 px ในไฟล์ห้ามยืด</t>
  </si>
  <si>
    <t xml:space="preserve">TabBar = Tb</t>
  </si>
  <si>
    <t xml:space="preserve">Bt_Secondary_002</t>
  </si>
  <si>
    <t xml:space="preserve">Secondary button (hover)</t>
  </si>
  <si>
    <t xml:space="preserve">เท่า Bt_Secondary_001</t>
  </si>
  <si>
    <t xml:space="preserve">เหมือน Bt_Secondary_001 ตอนเมาส์ชี้</t>
  </si>
  <si>
    <t xml:space="preserve">Content/Art/UI/bt_secondary_002.png</t>
  </si>
  <si>
    <t xml:space="preserve">สถานะเมาส์ชี้ (ตอนนี้ขอบและตัวหนังสือสว่างขึ้น)</t>
  </si>
  <si>
    <t xml:space="preserve">Other = Ot</t>
  </si>
  <si>
    <t xml:space="preserve">Bt_Menu_001</t>
  </si>
  <si>
    <t xml:space="preserve">Menu bar (selected)</t>
  </si>
  <si>
    <t xml:space="preserve">800*96</t>
  </si>
  <si>
    <t xml:space="preserve">หน้าแรก 400×40 · เมนูหยุด 380×48</t>
  </si>
  <si>
    <t xml:space="preserve">หน้าแรก (NEW RUN … QUIT) · เมนูหยุด FERMATA</t>
  </si>
  <si>
    <t xml:space="preserve">Content/Art/UI/bt_menu_001.png</t>
  </si>
  <si>
    <t xml:space="preserve">แถบขาวเฉียงใต้ตัวเลือกที่เลือกอยู่ เลื่อนตามเมาส์/ลูกศร · เลข 01 02 และคำ โค้ดเขียนเอง</t>
  </si>
  <si>
    <t xml:space="preserve">Bt_Menu_002</t>
  </si>
  <si>
    <t xml:space="preserve">Menu bar (not selected)</t>
  </si>
  <si>
    <t xml:space="preserve">380×48</t>
  </si>
  <si>
    <t xml:space="preserve">เมนูหยุด FERMATA (ตัวเลือกที่ไม่ได้เลือก)</t>
  </si>
  <si>
    <t xml:space="preserve">Content/Art/UI/bt_menu_002.png</t>
  </si>
  <si>
    <t xml:space="preserve">⭐⭐</t>
  </si>
  <si>
    <t xml:space="preserve">กรอบเส้นเฉียงโปร่ง · หน้าแรกไม่ใช้ (ตัวเลือกที่ไม่ได้เลือกเป็นแค่ตัวหนังสือ)</t>
  </si>
  <si>
    <t xml:space="preserve">Bt_Arrow_001</t>
  </si>
  <si>
    <t xml:space="preserve">Arrow button (normal)</t>
  </si>
  <si>
    <t xml:space="preserve">140*140</t>
  </si>
  <si>
    <t xml:space="preserve">ภาพเดี่ยว</t>
  </si>
  <si>
    <t xml:space="preserve">70×70 (แกลเลอรี) · 50×50 (โปรไฟล์)</t>
  </si>
  <si>
    <t xml:space="preserve">หน้าเลือกคอนดักเตอร์ ลูกศรเปลี่ยนคน ซ้าย/ขวา</t>
  </si>
  <si>
    <t xml:space="preserve">Content/Art/UI/bt_arrow_001.png</t>
  </si>
  <si>
    <t xml:space="preserve">วาดชี้ขวาอย่างเดียว โค้ดกลับด้านเป็นซ้ายเอง · กดไม่ได้ (คนแรก/คนสุดท้าย) โค้ดทำจางเอง</t>
  </si>
  <si>
    <t xml:space="preserve">Bt_Arrow_002</t>
  </si>
  <si>
    <t xml:space="preserve">Arrow button (hover)</t>
  </si>
  <si>
    <t xml:space="preserve">เท่า Bt_Arrow_001</t>
  </si>
  <si>
    <t xml:space="preserve">เหมือน Bt_Arrow_001 ตอนเมาส์ชี้</t>
  </si>
  <si>
    <t xml:space="preserve">Content/Art/UI/bt_arrow_002.png</t>
  </si>
  <si>
    <t xml:space="preserve">สถานะเมาส์ชี้</t>
  </si>
  <si>
    <t xml:space="preserve">Bt_Toggle_001</t>
  </si>
  <si>
    <t xml:space="preserve">Option button (selected)</t>
  </si>
  <si>
    <t xml:space="preserve">244*68</t>
  </si>
  <si>
    <t xml:space="preserve">122×34</t>
  </si>
  <si>
    <t xml:space="preserve">หน้าตั้งค่า LANGUAGE (ENGLISH / THAI)</t>
  </si>
  <si>
    <t xml:space="preserve">Content/Art/UI/bt_toggle_001.png</t>
  </si>
  <si>
    <t xml:space="preserve">ตัวเลือกที่เลือกอยู่ (ทึบ) · ไม่ต้องใส่ตัวหนังสือ โค้ดเขียนคำทับเอง</t>
  </si>
  <si>
    <t xml:space="preserve">Bt_Toggle_002</t>
  </si>
  <si>
    <t xml:space="preserve">Option button (not selected)</t>
  </si>
  <si>
    <t xml:space="preserve">หน้าตั้งค่า LANGUAGE</t>
  </si>
  <si>
    <t xml:space="preserve">Content/Art/UI/bt_toggle_002.png</t>
  </si>
  <si>
    <t xml:space="preserve">ตัวเลือกที่ไม่ได้เลือก (กรอบเส้น)</t>
  </si>
  <si>
    <t xml:space="preserve">Bt_Choice_001</t>
  </si>
  <si>
    <t xml:space="preserve">Event choice row (normal)</t>
  </si>
  <si>
    <t xml:space="preserve">1200*108</t>
  </si>
  <si>
    <t xml:space="preserve">600×54</t>
  </si>
  <si>
    <t xml:space="preserve">หน้าเหตุการณ์ ตัวเลือก I II III</t>
  </si>
  <si>
    <t xml:space="preserve">Content/Art/UI/bt_choice_001.png</t>
  </si>
  <si>
    <t xml:space="preserve">แถวเฉียงยาว · เลขโรมัน คำ และป้าย COSTS โค้ดเขียนเอง</t>
  </si>
  <si>
    <t xml:space="preserve">Bt_Choice_002</t>
  </si>
  <si>
    <t xml:space="preserve">Event choice row (hover)</t>
  </si>
  <si>
    <t xml:space="preserve">เหมือน Bt_Choice_001 ตอนเมาส์ชี้</t>
  </si>
  <si>
    <t xml:space="preserve">Content/Art/UI/bt_choice_002.png</t>
  </si>
  <si>
    <t xml:space="preserve">Bt_Mode_001</t>
  </si>
  <si>
    <t xml:space="preserve">Mode switch frame</t>
  </si>
  <si>
    <t xml:space="preserve">468*76</t>
  </si>
  <si>
    <t xml:space="preserve">234×38</t>
  </si>
  <si>
    <t xml:space="preserve">หน้าเลือกคอนดักเตอร์ + หน้าโปรไฟล์ มุมขวาล่าง (NORMAL / MAESTRO)</t>
  </si>
  <si>
    <t xml:space="preserve">Content/Art/UI/bt_mode_001.png</t>
  </si>
  <si>
    <t xml:space="preserve">กรอบสวิตช์ 2 ช่อง · คำ NORMAL / MAESTRO / MODE และบรรทัดอธิบายใต้กรอบ โค้ดเขียนเอง</t>
  </si>
  <si>
    <t xml:space="preserve">Bt_Mode_002</t>
  </si>
  <si>
    <t xml:space="preserve">Mode switch (chosen half)</t>
  </si>
  <si>
    <t xml:space="preserve">234*76</t>
  </si>
  <si>
    <t xml:space="preserve">117×38</t>
  </si>
  <si>
    <t xml:space="preserve">ช่องที่เลือกอยู่ของ Bt_Mode_001</t>
  </si>
  <si>
    <t xml:space="preserve">Content/Art/UI/bt_mode_002.png</t>
  </si>
  <si>
    <t xml:space="preserve">พื้นทึบครึ่งที่เลือก วางทับครึ่งซ้ายหรือขวา</t>
  </si>
  <si>
    <t xml:space="preserve">Icon_Name</t>
  </si>
  <si>
    <t xml:space="preserve">Ic_Key_001</t>
  </si>
  <si>
    <t xml:space="preserve">Key hint chip (ENTER / ESC / TAB / Y / N ...)</t>
  </si>
  <si>
    <t xml:space="preserve">120*36</t>
  </si>
  <si>
    <t xml:space="preserve">แถบ 3-slice</t>
  </si>
  <si>
    <t xml:space="preserve">สูง 18 · กว้าง 26–60</t>
  </si>
  <si>
    <t xml:space="preserve">ท้ายปุ่มเกือบทุกปุ่ม · สวิตช์โหมด (M) · หัวข้อ SIGNATURE (SPACE)</t>
  </si>
  <si>
    <t xml:space="preserve">Content/Art/UI/ic_key_001.png</t>
  </si>
  <si>
    <t xml:space="preserve">กรอบคีย์เล็ก ชื่อคีย์โค้ดเขียนเอง · หัวท้าย 12 px ในไฟล์ห้ามยืด</t>
  </si>
  <si>
    <t xml:space="preserve">Ic_KeyCap_001</t>
  </si>
  <si>
    <t xml:space="preserve">Keyboard key</t>
  </si>
  <si>
    <t xml:space="preserve">140*64</t>
  </si>
  <si>
    <t xml:space="preserve">สูง 28 (+ขอบล่าง 4) · กว้าง 34–70</t>
  </si>
  <si>
    <t xml:space="preserve">HOW TO PLAY หน้า 1 (SPACE · TAB · ESC)</t>
  </si>
  <si>
    <t xml:space="preserve">Content/Art/UI/ic_keycap_001.png</t>
  </si>
  <si>
    <t xml:space="preserve">ปุ่มคีย์บอร์ดแบบนูน ชื่อคีย์โค้ดเขียนเอง</t>
  </si>
  <si>
    <t xml:space="preserve">Ic_Mouse_001</t>
  </si>
  <si>
    <t xml:space="preserve">Mouse (left button lit)</t>
  </si>
  <si>
    <t xml:space="preserve">112*176</t>
  </si>
  <si>
    <t xml:space="preserve">ไอคอน</t>
  </si>
  <si>
    <t xml:space="preserve">56×88</t>
  </si>
  <si>
    <t xml:space="preserve">HOW TO PLAY หน้า 1 · (ต่อไปใช้ใน Tutorial ได้)</t>
  </si>
  <si>
    <t xml:space="preserve">Content/Art/UI/ic_mouse_001.png</t>
  </si>
  <si>
    <t xml:space="preserve">เมาส์มองจากบน ปุ่มซ้ายสว่าง = ปุ่มที่ใช้ตวัด</t>
  </si>
  <si>
    <t xml:space="preserve">Ic_Shard_001</t>
  </si>
  <si>
    <t xml:space="preserve">SHARDS (money)</t>
  </si>
  <si>
    <t xml:space="preserve">64*64</t>
  </si>
  <si>
    <t xml:space="preserve">12–20</t>
  </si>
  <si>
    <t xml:space="preserve">แถบบนในรัน · ราคาในร้าน · ป้ายราคา event/พัก · ปุ่ม TAKE 15 SHARDS · Curtain Call</t>
  </si>
  <si>
    <t xml:space="preserve">Content/Art/UI/ic_shard_001.png</t>
  </si>
  <si>
    <t xml:space="preserve">ตอนนี้เป็นเพชรเล็ก ◆</t>
  </si>
  <si>
    <t xml:space="preserve">Ic_Seat_001</t>
  </si>
  <si>
    <t xml:space="preserve">SEATS (stage seats)</t>
  </si>
  <si>
    <t xml:space="preserve">48*64</t>
  </si>
  <si>
    <t xml:space="preserve">8×16</t>
  </si>
  <si>
    <t xml:space="preserve">แถบบนในรัน (SEATS 3 / 3)</t>
  </si>
  <si>
    <t xml:space="preserve">Content/Art/UI/ic_seat_001.png</t>
  </si>
  <si>
    <t xml:space="preserve">ตอนนี้เป็นแคปซูลเล็ก</t>
  </si>
  <si>
    <t xml:space="preserve">Ic_Side_001</t>
  </si>
  <si>
    <t xml:space="preserve">Musician side badge : LEFT</t>
  </si>
  <si>
    <t xml:space="preserve">72*72</t>
  </si>
  <si>
    <t xml:space="preserve">เส้นผ่าน 20–36</t>
  </si>
  <si>
    <t xml:space="preserve">เหนือหัวนักดนตรีในดวล · การ์ดนักดนตรี · หน้ารับคน · ร้าน (HIRE) · หน้า THE BAND · กล่องวงในดวล</t>
  </si>
  <si>
    <t xml:space="preserve">Content/Art/UI/ic_side_001.png</t>
  </si>
  <si>
    <t xml:space="preserve">วงกลม + ลูกศรซ้าย = นั่งฝั่งซ้ายของวง · ต้องอ่านออกทันทีตอนดวล (ผู้ใช้เลือกแบบลูกศรในวงกลมเพราะอ่านง่าย) · ใช้ทั้งบนพื้นมืดและพื้นสว่าง → ขอแบบขาวมีขอบเข้ม</t>
  </si>
  <si>
    <t xml:space="preserve">Ic_Side_002</t>
  </si>
  <si>
    <t xml:space="preserve">Musician side badge : CENTRE</t>
  </si>
  <si>
    <t xml:space="preserve">เหมือน Ic_Side_001</t>
  </si>
  <si>
    <t xml:space="preserve">Content/Art/UI/ic_side_002.png</t>
  </si>
  <si>
    <t xml:space="preserve">วงกลม + ลูกศรลงและขึ้น = นั่งกลาง</t>
  </si>
  <si>
    <t xml:space="preserve">Ic_Side_003</t>
  </si>
  <si>
    <t xml:space="preserve">Musician side badge : RIGHT</t>
  </si>
  <si>
    <t xml:space="preserve">Content/Art/UI/ic_side_003.png</t>
  </si>
  <si>
    <t xml:space="preserve">วงกลม + ลูกศรขวา = นั่งฝั่งขวา</t>
  </si>
  <si>
    <t xml:space="preserve">Ic_Motif_001</t>
  </si>
  <si>
    <t xml:space="preserve">Motif : ROSIN (COMMON)</t>
  </si>
  <si>
    <t xml:space="preserve">176*176</t>
  </si>
  <si>
    <t xml:space="preserve">32×32 แถบบน · 44 ร้าน · 88×88 การ์ดรางวัล</t>
  </si>
  <si>
    <t xml:space="preserve">แถบบนในรัน · ร้าน · การ์ดเลือกรางวัล · Curtain Call · tooltip</t>
  </si>
  <si>
    <t xml:space="preserve">Content/Art/UI/ic_motif_001.png</t>
  </si>
  <si>
    <t xml:space="preserve">ตอนนี้ = เพชร + ตัวย่อ RO · ไอคอนใหม่ต้องยังแยกออกว่าเป็นใบไหน · ความหายาก COMMON (ตอนนี้บอกด้วยจำนวนเส้นกรอบ)</t>
  </si>
  <si>
    <t xml:space="preserve">Ic_Motif_002</t>
  </si>
  <si>
    <t xml:space="preserve">(ไม่มีภาพหน้าจอ)</t>
  </si>
  <si>
    <t xml:space="preserve">Motif : REED CASE (COMMON)</t>
  </si>
  <si>
    <t xml:space="preserve">Content/Art/UI/ic_motif_002.png</t>
  </si>
  <si>
    <t xml:space="preserve">ตอนนี้ = เพชร + ตัวย่อ RC · ไอคอนใหม่ต้องยังแยกออกว่าเป็นใบไหน · ความหายาก COMMON (ตอนนี้บอกด้วยจำนวนเส้นกรอบ)</t>
  </si>
  <si>
    <t xml:space="preserve">Ic_Motif_003</t>
  </si>
  <si>
    <t xml:space="preserve">Motif : SPARE STICKS (COMMON)</t>
  </si>
  <si>
    <t xml:space="preserve">Content/Art/UI/ic_motif_003.png</t>
  </si>
  <si>
    <t xml:space="preserve">ตอนนี้ = เพชร + ตัวย่อ SS · ไอคอนใหม่ต้องยังแยกออกว่าเป็นใบไหน · ความหายาก COMMON (ตอนนี้บอกด้วยจำนวนเส้นกรอบ)</t>
  </si>
  <si>
    <t xml:space="preserve">Ic_Motif_004</t>
  </si>
  <si>
    <t xml:space="preserve">Motif : PIANISSIMO (COMMON)</t>
  </si>
  <si>
    <t xml:space="preserve">Content/Art/UI/ic_motif_004.png</t>
  </si>
  <si>
    <t xml:space="preserve">ตอนนี้ = เพชร + ตัวย่อ PI · ไอคอนใหม่ต้องยังแยกออกว่าเป็นใบไหน · ความหายาก COMMON (ตอนนี้บอกด้วยจำนวนเส้นกรอบ)</t>
  </si>
  <si>
    <t xml:space="preserve">Ic_Motif_005</t>
  </si>
  <si>
    <t xml:space="preserve">Motif : PATRON'S PURSE (COMMON)</t>
  </si>
  <si>
    <t xml:space="preserve">Content/Art/UI/ic_motif_005.png</t>
  </si>
  <si>
    <t xml:space="preserve">ตอนนี้ = เพชร + ตัวย่อ PP · ไอคอนใหม่ต้องยังแยกออกว่าเป็นใบไหน · ความหายาก COMMON (ตอนนี้บอกด้วยจำนวนเส้นกรอบ)</t>
  </si>
  <si>
    <t xml:space="preserve">Ic_Motif_006</t>
  </si>
  <si>
    <t xml:space="preserve">Motif : BREATH MARK (RARE)</t>
  </si>
  <si>
    <t xml:space="preserve">Content/Art/UI/ic_motif_006.png</t>
  </si>
  <si>
    <t xml:space="preserve">ตอนนี้ = เพชร + ตัวย่อ BM · ไอคอนใหม่ต้องยังแยกออกว่าเป็นใบไหน · ความหายาก RARE (ตอนนี้บอกด้วยจำนวนเส้นกรอบ)</t>
  </si>
  <si>
    <t xml:space="preserve">Ic_Motif_007</t>
  </si>
  <si>
    <t xml:space="preserve">Motif : TUTTI (RARE)</t>
  </si>
  <si>
    <t xml:space="preserve">Content/Art/UI/ic_motif_007.png</t>
  </si>
  <si>
    <t xml:space="preserve">ตอนนี้ = เพชร + ตัวย่อ TU · ไอคอนใหม่ต้องยังแยกออกว่าเป็นใบไหน · ความหายาก RARE (ตอนนี้บอกด้วยจำนวนเส้นกรอบ)</t>
  </si>
  <si>
    <t xml:space="preserve">Ic_Motif_008</t>
  </si>
  <si>
    <t xml:space="preserve">Motif : STEADY PULSE (RARE)</t>
  </si>
  <si>
    <t xml:space="preserve">Content/Art/UI/ic_motif_008.png</t>
  </si>
  <si>
    <t xml:space="preserve">ตอนนี้ = เพชร + ตัวย่อ SP · ไอคอนใหม่ต้องยังแยกออกว่าเป็นใบไหน · ความหายาก RARE (ตอนนี้บอกด้วยจำนวนเส้นกรอบ)</t>
  </si>
  <si>
    <t xml:space="preserve">Ic_Motif_009</t>
  </si>
  <si>
    <t xml:space="preserve">Motif : ENCORE (RARE)</t>
  </si>
  <si>
    <t xml:space="preserve">Content/Art/UI/ic_motif_009.png</t>
  </si>
  <si>
    <t xml:space="preserve">ตอนนี้ = เพชร + ตัวย่อ EN · ไอคอนใหม่ต้องยังแยกออกว่าเป็นใบไหน · ความหายาก RARE (ตอนนี้บอกด้วยจำนวนเส้นกรอบ)</t>
  </si>
  <si>
    <t xml:space="preserve">Ic_Motif_010</t>
  </si>
  <si>
    <t xml:space="preserve">Motif : RUBATO (RARE)</t>
  </si>
  <si>
    <t xml:space="preserve">Content/Art/UI/ic_motif_010.png</t>
  </si>
  <si>
    <t xml:space="preserve">ตอนนี้ = เพชร + ตัวย่อ RU · ไอคอนใหม่ต้องยังแยกออกว่าเป็นใบไหน · ความหายาก RARE (ตอนนี้บอกด้วยจำนวนเส้นกรอบ)</t>
  </si>
  <si>
    <t xml:space="preserve">Ic_Motif_011</t>
  </si>
  <si>
    <t xml:space="preserve">Motif : CRESCENDO (TREASURED)</t>
  </si>
  <si>
    <t xml:space="preserve">Content/Art/UI/ic_motif_011.png</t>
  </si>
  <si>
    <t xml:space="preserve">ตอนนี้ = เพชร + ตัวย่อ CR · ไอคอนใหม่ต้องยังแยกออกว่าเป็นใบไหน · ความหายาก TREASURED (ตอนนี้บอกด้วยจำนวนเส้นกรอบ)</t>
  </si>
  <si>
    <t xml:space="preserve">Ic_Motif_012</t>
  </si>
  <si>
    <t xml:space="preserve">Motif : SFORZANDO (TREASURED)</t>
  </si>
  <si>
    <t xml:space="preserve">Content/Art/UI/ic_motif_012.png</t>
  </si>
  <si>
    <t xml:space="preserve">ตอนนี้ = เพชร + ตัวย่อ SF · ไอคอนใหม่ต้องยังแยกออกว่าเป็นใบไหน · ความหายาก TREASURED (ตอนนี้บอกด้วยจำนวนเส้นกรอบ)</t>
  </si>
  <si>
    <t xml:space="preserve">Ic_Motif_013</t>
  </si>
  <si>
    <t xml:space="preserve">Motif : SECOND WIND (TREASURED)</t>
  </si>
  <si>
    <t xml:space="preserve">Content/Art/UI/ic_motif_013.png</t>
  </si>
  <si>
    <t xml:space="preserve">ตอนนี้ = เพชร + ตัวย่อ SW · ไอคอนใหม่ต้องยังแยกออกว่าเป็นใบไหน · ความหายาก TREASURED (ตอนนี้บอกด้วยจำนวนเส้นกรอบ)</t>
  </si>
  <si>
    <t xml:space="preserve">Ic_Motif_014</t>
  </si>
  <si>
    <t xml:space="preserve">Motif : OVERTURE (TREASURED)</t>
  </si>
  <si>
    <t xml:space="preserve">Content/Art/UI/ic_motif_014.png</t>
  </si>
  <si>
    <t xml:space="preserve">ตอนนี้ = เพชร + ตัวย่อ OV · ไอคอนใหม่ต้องยังแยกออกว่าเป็นใบไหน · ความหายาก TREASURED (ตอนนี้บอกด้วยจำนวนเส้นกรอบ)</t>
  </si>
  <si>
    <t xml:space="preserve">Ic_Motif_015</t>
  </si>
  <si>
    <t xml:space="preserve">Motif : COUNTERPOINT (TREASURED)</t>
  </si>
  <si>
    <t xml:space="preserve">Content/Art/UI/ic_motif_015.png</t>
  </si>
  <si>
    <t xml:space="preserve">ตอนนี้ = เพชร + ตัวย่อ CP · ไอคอนใหม่ต้องยังแยกออกว่าเป็นใบไหน · ความหายาก TREASURED (ตอนนี้บอกด้วยจำนวนเส้นกรอบ)</t>
  </si>
  <si>
    <t xml:space="preserve">Ic_Motif_016</t>
  </si>
  <si>
    <t xml:space="preserve">Motif : ACCELERANDO (COMMON)</t>
  </si>
  <si>
    <t xml:space="preserve">Content/Art/UI/ic_motif_016.png</t>
  </si>
  <si>
    <t xml:space="preserve">ตอนนี้ = เพชร + ตัวย่อ AC · ไอคอนใหม่ต้องยังแยกออกว่าเป็นใบไหน · ความหายาก COMMON (ตอนนี้บอกด้วยจำนวนเส้นกรอบ)</t>
  </si>
  <si>
    <t xml:space="preserve">Ic_Motif_017</t>
  </si>
  <si>
    <t xml:space="preserve">Motif : TENUTO (COMMON)</t>
  </si>
  <si>
    <t xml:space="preserve">Content/Art/UI/ic_motif_017.png</t>
  </si>
  <si>
    <t xml:space="preserve">ตอนนี้ = เพชร + ตัวย่อ TE · ไอคอนใหม่ต้องยังแยกออกว่าเป็นใบไหน · ความหายาก COMMON (ตอนนี้บอกด้วยจำนวนเส้นกรอบ)</t>
  </si>
  <si>
    <t xml:space="preserve">Ic_Motif_018</t>
  </si>
  <si>
    <t xml:space="preserve">Motif : GRACE NOTE (RARE)</t>
  </si>
  <si>
    <t xml:space="preserve">Content/Art/UI/ic_motif_018.png</t>
  </si>
  <si>
    <t xml:space="preserve">ตอนนี้ = เพชร + ตัวย่อ GN · ไอคอนใหม่ต้องยังแยกออกว่าเป็นใบไหน · ความหายาก RARE (ตอนนี้บอกด้วยจำนวนเส้นกรอบ)</t>
  </si>
  <si>
    <t xml:space="preserve">Ic_Motif_019</t>
  </si>
  <si>
    <t xml:space="preserve">Motif : MARCATO (RARE)</t>
  </si>
  <si>
    <t xml:space="preserve">Content/Art/UI/ic_motif_019.png</t>
  </si>
  <si>
    <t xml:space="preserve">ตอนนี้ = เพชร + ตัวย่อ MA · ไอคอนใหม่ต้องยังแยกออกว่าเป็นใบไหน · ความหายาก RARE (ตอนนี้บอกด้วยจำนวนเส้นกรอบ)</t>
  </si>
  <si>
    <t xml:space="preserve">Ic_Motif_020</t>
  </si>
  <si>
    <t xml:space="preserve">Motif : CON BRIO (TREASURED)</t>
  </si>
  <si>
    <t xml:space="preserve">Content/Art/UI/ic_motif_020.png</t>
  </si>
  <si>
    <t xml:space="preserve">ตอนนี้ = เพชร + ตัวย่อ CB · ไอคอนใหม่ต้องยังแยกออกว่าเป็นใบไหน · ความหายาก TREASURED (ตอนนี้บอกด้วยจำนวนเส้นกรอบ)</t>
  </si>
  <si>
    <t xml:space="preserve">Ic_Motif_021</t>
  </si>
  <si>
    <t xml:space="preserve">Motif : CODA (TREASURED)</t>
  </si>
  <si>
    <t xml:space="preserve">Content/Art/UI/ic_motif_021.png</t>
  </si>
  <si>
    <t xml:space="preserve">ตอนนี้ = เพชร + ตัวย่อ CO · ไอคอนใหม่ต้องยังแยกออกว่าเป็นใบไหน · ความหายาก TREASURED (ตอนนี้บอกด้วยจำนวนเส้นกรอบ)</t>
  </si>
  <si>
    <t xml:space="preserve">Ic_Route_001</t>
  </si>
  <si>
    <t xml:space="preserve">Route : ENCOUNTER</t>
  </si>
  <si>
    <t xml:space="preserve">80*80</t>
  </si>
  <si>
    <t xml:space="preserve">22×22 บนถนน · 40×40 บนป้ายทาง · 18×20 Curtain Call</t>
  </si>
  <si>
    <t xml:space="preserve">หน้าเลือกเส้นทาง (ถนน + ป้ายทาง) · Curtain Call (THE JOURNEY)</t>
  </si>
  <si>
    <t xml:space="preserve">Content/Art/UI/ic_route_001.png</t>
  </si>
  <si>
    <t xml:space="preserve">ดวลธรรมดา · ตอนนี้เป็นตัวอักษร E ในกรอบสี่เหลี่ยม</t>
  </si>
  <si>
    <t xml:space="preserve">Ic_Route_002</t>
  </si>
  <si>
    <t xml:space="preserve">Route : UNKNOWN</t>
  </si>
  <si>
    <t xml:space="preserve">Content/Art/UI/ic_route_002.png</t>
  </si>
  <si>
    <t xml:space="preserve">เหตุการณ์ (???) · ตอนนี้เป็นตัวอักษร ? ในกรอบสี่เหลี่ยม</t>
  </si>
  <si>
    <t xml:space="preserve">Ic_Route_003</t>
  </si>
  <si>
    <t xml:space="preserve">Route : SHOP</t>
  </si>
  <si>
    <t xml:space="preserve">Content/Art/UI/ic_route_003.png</t>
  </si>
  <si>
    <t xml:space="preserve">ร้าน · ตอนนี้เป็นตัวอักษร $ ในกรอบสี่เหลี่ยม</t>
  </si>
  <si>
    <t xml:space="preserve">Ic_Route_004</t>
  </si>
  <si>
    <t xml:space="preserve">Route : ELITE</t>
  </si>
  <si>
    <t xml:space="preserve">Content/Art/UI/ic_route_004.png</t>
  </si>
  <si>
    <t xml:space="preserve">ดวล Elite · ตอนนี้เป็นตัวอักษร ! ในกรอบสี่เหลี่ยม</t>
  </si>
  <si>
    <t xml:space="preserve">Ic_Route_005</t>
  </si>
  <si>
    <t xml:space="preserve">Route : REST</t>
  </si>
  <si>
    <t xml:space="preserve">Content/Art/UI/ic_route_005.png</t>
  </si>
  <si>
    <t xml:space="preserve">ห้องพัก · ตอนนี้เป็นตัวอักษร R ในกรอบสี่เหลี่ยม</t>
  </si>
  <si>
    <t xml:space="preserve">Ic_Route_006</t>
  </si>
  <si>
    <t xml:space="preserve">Route : BOSS</t>
  </si>
  <si>
    <t xml:space="preserve">Content/Art/UI/ic_route_006.png</t>
  </si>
  <si>
    <t xml:space="preserve">บอสท้ายชั้น · ตอนนี้เป็นตัวอักษร B ในกรอบสี่เหลี่ยม</t>
  </si>
  <si>
    <t xml:space="preserve">Ic_Route_007</t>
  </si>
  <si>
    <t xml:space="preserve">Route : CROSSING</t>
  </si>
  <si>
    <t xml:space="preserve">Content/Art/UI/ic_route_007.png</t>
  </si>
  <si>
    <t xml:space="preserve">ข้ามยุค · ตอนนี้เป็นตัวอักษร X ในกรอบสี่เหลี่ยม</t>
  </si>
  <si>
    <t xml:space="preserve">Ic_Here_001</t>
  </si>
  <si>
    <t xml:space="preserve">YOU ARE HERE marker</t>
  </si>
  <si>
    <t xml:space="preserve">48*48</t>
  </si>
  <si>
    <t xml:space="preserve">~20</t>
  </si>
  <si>
    <t xml:space="preserve">ถนนหน้าเลือกเส้นทาง จุดที่อยู่ตอนนี้</t>
  </si>
  <si>
    <t xml:space="preserve">Content/Art/UI/ic_here_001.png</t>
  </si>
  <si>
    <t xml:space="preserve">⭐</t>
  </si>
  <si>
    <t xml:space="preserve">ตอนนี้เป็นเพชรกรอบขาว</t>
  </si>
  <si>
    <t xml:space="preserve">Ic_Pip_001</t>
  </si>
  <si>
    <t xml:space="preserve">Pip (filled)</t>
  </si>
  <si>
    <t xml:space="preserve">24*24</t>
  </si>
  <si>
    <t xml:space="preserve">6–10</t>
  </si>
  <si>
    <t xml:space="preserve">ความหายาก Motif · แถบค่า BREATH/PUSH หน้าโปรไฟล์ · ความอันตรายบนป้ายทาง · แถบ PROGRESS Tutorial · จุดเคล็ดลับหน้าแรก</t>
  </si>
  <si>
    <t xml:space="preserve">Content/Art/UI/ic_pip_001.png</t>
  </si>
  <si>
    <t xml:space="preserve">เพชรเล็กเต็ม · ใช้บนพื้นมืดเกือบทุกที่</t>
  </si>
  <si>
    <t xml:space="preserve">Ic_Pip_002</t>
  </si>
  <si>
    <t xml:space="preserve">Pip (empty)</t>
  </si>
  <si>
    <t xml:space="preserve">เหมือน Ic_Pip_001</t>
  </si>
  <si>
    <t xml:space="preserve">Content/Art/UI/ic_pip_002.png</t>
  </si>
  <si>
    <t xml:space="preserve">เพชรเล็กเส้นกรอบ</t>
  </si>
  <si>
    <t xml:space="preserve">Ic_Step_001</t>
  </si>
  <si>
    <t xml:space="preserve">Page step (current)</t>
  </si>
  <si>
    <t xml:space="preserve">HOW TO PLAY ตัวบอกหน้า (CONTROLS / THE NOTE / THE LINE)</t>
  </si>
  <si>
    <t xml:space="preserve">Content/Art/UI/ic_step_001.png</t>
  </si>
  <si>
    <t xml:space="preserve">หน้าที่อยู่ตอนนี้ (เพชรใหญ่มีแสง)</t>
  </si>
  <si>
    <t xml:space="preserve">Ic_Step_002</t>
  </si>
  <si>
    <t xml:space="preserve">Page step (done)</t>
  </si>
  <si>
    <t xml:space="preserve">~10</t>
  </si>
  <si>
    <t xml:space="preserve">เหมือน Ic_Step_001</t>
  </si>
  <si>
    <t xml:space="preserve">Content/Art/UI/ic_step_002.png</t>
  </si>
  <si>
    <t xml:space="preserve">หน้าที่ผ่านแล้ว</t>
  </si>
  <si>
    <t xml:space="preserve">Ic_Step_003</t>
  </si>
  <si>
    <t xml:space="preserve">Page step (not yet)</t>
  </si>
  <si>
    <t xml:space="preserve">Content/Art/UI/ic_step_003.png</t>
  </si>
  <si>
    <t xml:space="preserve">หน้าที่ยังไม่ถึง · เส้นเชื่อมระหว่างจุด โค้ดวาดเอง</t>
  </si>
  <si>
    <t xml:space="preserve">Ic_Pointer_001</t>
  </si>
  <si>
    <t xml:space="preserve">Pointer (hover / selected)</t>
  </si>
  <si>
    <t xml:space="preserve">8–10</t>
  </si>
  <si>
    <t xml:space="preserve">ข้างปุ่มที่เมาส์ชี้ · ตัวเลือกที่เลือกในหน้าแรก/เมนูหยุด/ตั้งค่า</t>
  </si>
  <si>
    <t xml:space="preserve">Content/Art/UI/ic_pointer_001.png</t>
  </si>
  <si>
    <t xml:space="preserve">ตอนนี้เป็นเพชรขาวเล็ก</t>
  </si>
  <si>
    <t xml:space="preserve">Ic_Pause_001</t>
  </si>
  <si>
    <t xml:space="preserve">Pause emblem (FERMATA)</t>
  </si>
  <si>
    <t xml:space="preserve">96*56</t>
  </si>
  <si>
    <t xml:space="preserve">~40×24</t>
  </si>
  <si>
    <t xml:space="preserve">หัวกล่องเมนูหยุด</t>
  </si>
  <si>
    <t xml:space="preserve">Content/Art/UI/ic_pause_001.png</t>
  </si>
  <si>
    <t xml:space="preserve">เครื่องหมายเฟอร์มาตา (ชื่อเมนูหยุดคือ FERMATA)</t>
  </si>
  <si>
    <t xml:space="preserve">Ic_Next_001</t>
  </si>
  <si>
    <t xml:space="preserve">Dialogue continue arrow</t>
  </si>
  <si>
    <t xml:space="preserve">32*32</t>
  </si>
  <si>
    <t xml:space="preserve">มุมกล่องคำพูดในร้าน</t>
  </si>
  <si>
    <t xml:space="preserve">Content/Art/UI/ic_next_001.png</t>
  </si>
  <si>
    <t xml:space="preserve">ลูกศรลงเล็ก ▼</t>
  </si>
  <si>
    <t xml:space="preserve">Ic_Plus_001</t>
  </si>
  <si>
    <t xml:space="preserve">Empty slot plus</t>
  </si>
  <si>
    <t xml:space="preserve">40*40</t>
  </si>
  <si>
    <t xml:space="preserve">~16</t>
  </si>
  <si>
    <t xml:space="preserve">ช่องการ์ดว่างหน้า THE BAND</t>
  </si>
  <si>
    <t xml:space="preserve">Content/Art/UI/ic_plus_001.png</t>
  </si>
  <si>
    <t xml:space="preserve">เครื่องหมาย + กลางช่องว่าง</t>
  </si>
  <si>
    <t xml:space="preserve">Ic_Result_001</t>
  </si>
  <si>
    <t xml:space="preserve">Result mark : WON</t>
  </si>
  <si>
    <t xml:space="preserve">~10 ในช่องตาราง 50×42 · 18×14 คำอธิบาย</t>
  </si>
  <si>
    <t xml:space="preserve">หน้าผลดวล ตาราง THE PERFORMANCE + คำอธิบายใต้ตาราง</t>
  </si>
  <si>
    <t xml:space="preserve">Content/Art/UI/ic_result_001.png</t>
  </si>
  <si>
    <t xml:space="preserve">ช่องที่วงชนะ (ทึบดำ)</t>
  </si>
  <si>
    <t xml:space="preserve">Ic_Result_002</t>
  </si>
  <si>
    <t xml:space="preserve">Result mark : MISS</t>
  </si>
  <si>
    <t xml:space="preserve">Content/Art/UI/ic_result_002.png</t>
  </si>
  <si>
    <t xml:space="preserve">พลาด</t>
  </si>
  <si>
    <t xml:space="preserve">Ic_Result_003</t>
  </si>
  <si>
    <t xml:space="preserve">Result mark : COUNTER</t>
  </si>
  <si>
    <t xml:space="preserve">Content/Art/UI/ic_result_003.png</t>
  </si>
  <si>
    <t xml:space="preserve">สวนกลับ</t>
  </si>
  <si>
    <t xml:space="preserve">Ic_Result_004</t>
  </si>
  <si>
    <t xml:space="preserve">Result mark : FERMATA</t>
  </si>
  <si>
    <t xml:space="preserve">Content/Art/UI/ic_result_004.png</t>
  </si>
  <si>
    <t xml:space="preserve">โน้ตค้าง</t>
  </si>
  <si>
    <t xml:space="preserve">Ic_Result_005</t>
  </si>
  <si>
    <t xml:space="preserve">Result mark : PERFECT</t>
  </si>
  <si>
    <t xml:space="preserve">Content/Art/UI/ic_result_005.png</t>
  </si>
  <si>
    <t xml:space="preserve">ตรงเวลาเป๊ะ (จุดมุมช่อง)</t>
  </si>
  <si>
    <t xml:space="preserve">Ic_Result_006</t>
  </si>
  <si>
    <t xml:space="preserve">Result mark : NO STROKE</t>
  </si>
  <si>
    <t xml:space="preserve">Content/Art/UI/ic_result_006.png</t>
  </si>
  <si>
    <t xml:space="preserve">บีตที่ไม่ตวัด</t>
  </si>
  <si>
    <t xml:space="preserve">Ic_Result_007</t>
  </si>
  <si>
    <t xml:space="preserve">Result mark : SPARK</t>
  </si>
  <si>
    <t xml:space="preserve">Content/Art/UI/ic_result_007.png</t>
  </si>
  <si>
    <t xml:space="preserve">โน้ตคู่</t>
  </si>
  <si>
    <t xml:space="preserve">Ic_Result_008</t>
  </si>
  <si>
    <t xml:space="preserve">Result mark : ROLL</t>
  </si>
  <si>
    <t xml:space="preserve">Content/Art/UI/ic_result_008.png</t>
  </si>
  <si>
    <t xml:space="preserve">โน้ตรัว</t>
  </si>
  <si>
    <t xml:space="preserve">Ic_Dir_001</t>
  </si>
  <si>
    <t xml:space="preserve">Stroke arrow : DOWN</t>
  </si>
  <si>
    <t xml:space="preserve">~20 ในช่อง 50×42</t>
  </si>
  <si>
    <t xml:space="preserve">หน้าผลดวล ตาราง THE PERFORMANCE</t>
  </si>
  <si>
    <t xml:space="preserve">Content/Art/UI/ic_dir_001.png</t>
  </si>
  <si>
    <t xml:space="preserve">ทิศที่ตวัดในบีตนั้น (ลง) · ไม่ใช่ลูกศรบนโน้ตในดวล</t>
  </si>
  <si>
    <t xml:space="preserve">Ic_Dir_002</t>
  </si>
  <si>
    <t xml:space="preserve">Stroke arrow : LEFT</t>
  </si>
  <si>
    <t xml:space="preserve">Content/Art/UI/ic_dir_002.png</t>
  </si>
  <si>
    <t xml:space="preserve">ทิศที่ตวัดในบีตนั้น (ซ้าย) · ไม่ใช่ลูกศรบนโน้ตในดวล</t>
  </si>
  <si>
    <t xml:space="preserve">Ic_Dir_003</t>
  </si>
  <si>
    <t xml:space="preserve">Stroke arrow : RIGHT</t>
  </si>
  <si>
    <t xml:space="preserve">Content/Art/UI/ic_dir_003.png</t>
  </si>
  <si>
    <t xml:space="preserve">ทิศที่ตวัดในบีตนั้น (ขวา) · ไม่ใช่ลูกศรบนโน้ตในดวล</t>
  </si>
  <si>
    <t xml:space="preserve">Ic_Dir_004</t>
  </si>
  <si>
    <t xml:space="preserve">Stroke arrow : UP</t>
  </si>
  <si>
    <t xml:space="preserve">Content/Art/UI/ic_dir_004.png</t>
  </si>
  <si>
    <t xml:space="preserve">ทิศที่ตวัดในบีตนั้น (ขึ้น) · ไม่ใช่ลูกศรบนโน้ตในดวล</t>
  </si>
  <si>
    <t xml:space="preserve">BoxFrame_Name</t>
  </si>
  <si>
    <t xml:space="preserve">Bf_Panel_001</t>
  </si>
  <si>
    <t xml:space="preserve">Standard panel</t>
  </si>
  <si>
    <t xml:space="preserve">256*256</t>
  </si>
  <si>
    <t xml:space="preserve">380×240 ถึง 780×460</t>
  </si>
  <si>
    <t xml:space="preserve">หน้าตั้งค่า (กล่องหลัก + กล่องอธิบาย) · รายการของในร้าน · กล่องภาพ HOW TO PLAY · กล่องคำอธิบายหน้า THE BAND</t>
  </si>
  <si>
    <t xml:space="preserve">Content/Art/UI/bf_panel_001.png</t>
  </si>
  <si>
    <t xml:space="preserve">กล่องพื้นเข้ม + ขอบเส้นจาง + เล็บมุม · มุม 32 px ในไฟล์ (16 ในเกม) ห้ามยืด ขอบกลางยืดได้ · ด้านในเรียบ (โค้ดวางตัวหนังสือทับ) · กล่องอื่นที่หน้าตาคล้ายกัน (รายละเอียดเส้นทาง · Programme ของ Curtain Call) ใช้กรอบนี้ได้</t>
  </si>
  <si>
    <t xml:space="preserve">Bf_Dialog_001</t>
  </si>
  <si>
    <t xml:space="preserve">Dialog / pause box</t>
  </si>
  <si>
    <t xml:space="preserve">500×220 · 520×446 · 620×250</t>
  </si>
  <si>
    <t xml:space="preserve">กล่องถามยืนยัน (ออกจากร้าน ออกจากรัน ฯลฯ) · กล่องเมนูหยุด · ข้อเสนอ THE DEVIL'S STRING ในดวล</t>
  </si>
  <si>
    <t xml:space="preserve">Content/Art/UI/bf_dialog_001.png</t>
  </si>
  <si>
    <t xml:space="preserve">กรอบเส้นคู่ + เพชรที่มุม · มุม 48 px ในไฟล์ (24 ในเกม) ห้ามยืด · พื้นหลังทึบเข้ม</t>
  </si>
  <si>
    <t xml:space="preserve">Bf_Tooltip_001</t>
  </si>
  <si>
    <t xml:space="preserve">Tooltip</t>
  </si>
  <si>
    <t xml:space="preserve">128*128</t>
  </si>
  <si>
    <t xml:space="preserve">~200–360 × 80–160</t>
  </si>
  <si>
    <t xml:space="preserve">ขึ้นข้างเมาส์เมื่อชี้ป้าย Motif บนแถบบน</t>
  </si>
  <si>
    <t xml:space="preserve">Content/Art/UI/bf_tooltip_001.png</t>
  </si>
  <si>
    <t xml:space="preserve">กรอบเส้นคู่ + เงา · มุม 24 px ในไฟล์ · (ภาพหน้าจอไม่มี เพราะต้องเอาเมาส์ชี้)</t>
  </si>
  <si>
    <t xml:space="preserve">Bf_CardMusician_001</t>
  </si>
  <si>
    <t xml:space="preserve">Musician card (normal)</t>
  </si>
  <si>
    <t xml:space="preserve">224*384</t>
  </si>
  <si>
    <t xml:space="preserve">กว้าง ~110 · สูง 128–190</t>
  </si>
  <si>
    <t xml:space="preserve">หน้า THE BAND (รายชื่อวง) · หน้าพัก/เหตุการณ์ตอนเลือกนักดนตรี</t>
  </si>
  <si>
    <t xml:space="preserve">Content/Art/UI/bf_cardmusician_001.png</t>
  </si>
  <si>
    <t xml:space="preserve">กรอบการ์ด ด้านบนมีช่องรูปนักดนตรี (โค้ดวางรูป) · ชื่อ เครื่อง PWR ป้ายลูกศร ON STAGE/BENCH โค้ดเขียนเอง</t>
  </si>
  <si>
    <t xml:space="preserve">Bf_CardMusician_002</t>
  </si>
  <si>
    <t xml:space="preserve">Musician card (selected / hover)</t>
  </si>
  <si>
    <t xml:space="preserve">เท่า Bf_CardMusician_001</t>
  </si>
  <si>
    <t xml:space="preserve">เหมือน Bf_CardMusician_001</t>
  </si>
  <si>
    <t xml:space="preserve">Content/Art/UI/bf_cardmusician_002.png</t>
  </si>
  <si>
    <t xml:space="preserve">การ์ดที่เลือก/เมาส์ชี้ (ตอนนี้มีเล็บมุมสว่างล้อมรอบ)</t>
  </si>
  <si>
    <t xml:space="preserve">Bf_CardEmpty_001</t>
  </si>
  <si>
    <t xml:space="preserve">Empty card slot</t>
  </si>
  <si>
    <t xml:space="preserve">~111 × 128–190</t>
  </si>
  <si>
    <t xml:space="preserve">หน้า THE BAND ช่องที่ยังไม่มีคน</t>
  </si>
  <si>
    <t xml:space="preserve">Content/Art/UI/bf_cardempty_001.png</t>
  </si>
  <si>
    <t xml:space="preserve">กรอบจาง · เครื่องหมาย + ใช้ Ic_Plus_001</t>
  </si>
  <si>
    <t xml:space="preserve">Bf_CardMotif_001</t>
  </si>
  <si>
    <t xml:space="preserve">Motif reward card (normal)</t>
  </si>
  <si>
    <t xml:space="preserve">480*732</t>
  </si>
  <si>
    <t xml:space="preserve">240×366</t>
  </si>
  <si>
    <t xml:space="preserve">หน้าเลือกรางวัลหลังชนะดวล (3 ใบ)</t>
  </si>
  <si>
    <t xml:space="preserve">Content/Art/UI/bf_cardmotif_001.png</t>
  </si>
  <si>
    <t xml:space="preserve">กรอบการ์ดสูง · ไอคอน Motif วางกลางบน · ชื่อ ความหายาก คำอธิบาย โค้ดเขียนเอง</t>
  </si>
  <si>
    <t xml:space="preserve">Bf_CardMotif_002</t>
  </si>
  <si>
    <t xml:space="preserve">Motif reward card (hover)</t>
  </si>
  <si>
    <t xml:space="preserve">เหมือน Bf_CardMotif_001</t>
  </si>
  <si>
    <t xml:space="preserve">Content/Art/UI/bf_cardmotif_002.png</t>
  </si>
  <si>
    <t xml:space="preserve">ใบที่เมาส์ชี้ (ตอนนี้กรอบสว่าง + รังสีหมุนรอบไอคอน)</t>
  </si>
  <si>
    <t xml:space="preserve">Bf_Conductor_001</t>
  </si>
  <si>
    <t xml:space="preserve">Conductor portrait frame</t>
  </si>
  <si>
    <t xml:space="preserve">660*860</t>
  </si>
  <si>
    <t xml:space="preserve">330×430</t>
  </si>
  <si>
    <t xml:space="preserve">หน้าเลือกคอนดักเตอร์ (กรอบรูปในแกลเลอรี)</t>
  </si>
  <si>
    <t xml:space="preserve">Content/Art/UI/bf_conductor_001.png</t>
  </si>
  <si>
    <t xml:space="preserve">กรอบรูปภาพวาดแบบพิพิธภัณฑ์ · รูปคอนดักเตอร์วางข้างใน · ใบข้างๆ โค้ดทำมืดลงเอง</t>
  </si>
  <si>
    <t xml:space="preserve">Bf_Era_001</t>
  </si>
  <si>
    <t xml:space="preserve">Era panel (normal)</t>
  </si>
  <si>
    <t xml:space="preserve">256*512</t>
  </si>
  <si>
    <t xml:space="preserve">~300–600 × 560</t>
  </si>
  <si>
    <t xml:space="preserve">หน้าเลือกยุค (CLASSICAL / SIAM / ROMANTIC)</t>
  </si>
  <si>
    <t xml:space="preserve">Content/Art/UI/bf_era_001.png</t>
  </si>
  <si>
    <t xml:space="preserve">กรอบแผงสูง (ภาพยุควางข้างใน)</t>
  </si>
  <si>
    <t xml:space="preserve">Bf_Era_002</t>
  </si>
  <si>
    <t xml:space="preserve">Era panel (selected)</t>
  </si>
  <si>
    <t xml:space="preserve">~600 × 560</t>
  </si>
  <si>
    <t xml:space="preserve">เหมือน Bf_Era_001</t>
  </si>
  <si>
    <t xml:space="preserve">Content/Art/UI/bf_era_002.png</t>
  </si>
  <si>
    <t xml:space="preserve">แผงที่เลือก (ตอนนี้มีเล็บมุมสว่าง + เส้นขาวด้านบน)</t>
  </si>
  <si>
    <t xml:space="preserve">Bf_RouteTile_001</t>
  </si>
  <si>
    <t xml:space="preserve">Route choice tile (normal)</t>
  </si>
  <si>
    <t xml:space="preserve">392*224</t>
  </si>
  <si>
    <t xml:space="preserve">196×112</t>
  </si>
  <si>
    <t xml:space="preserve">หน้าเลือกเส้นทาง ป้ายทางแยก</t>
  </si>
  <si>
    <t xml:space="preserve">Content/Art/UI/bf_routetile_001.png</t>
  </si>
  <si>
    <t xml:space="preserve">ป้ายทาง · ไอคอนประเภทใช้ Ic_Route · คำโค้ดเขียนเอง</t>
  </si>
  <si>
    <t xml:space="preserve">Bf_RouteTile_002</t>
  </si>
  <si>
    <t xml:space="preserve">Route choice tile (selected)</t>
  </si>
  <si>
    <t xml:space="preserve">เหมือน Bf_RouteTile_001</t>
  </si>
  <si>
    <t xml:space="preserve">Content/Art/UI/bf_routetile_002.png</t>
  </si>
  <si>
    <t xml:space="preserve">ป้ายที่เลือก (ตอนนี้พื้นขาว ตัวหนังสือดำ)</t>
  </si>
  <si>
    <t xml:space="preserve">Bf_Card_001</t>
  </si>
  <si>
    <t xml:space="preserve">Choice card (normal)</t>
  </si>
  <si>
    <t xml:space="preserve">600*352</t>
  </si>
  <si>
    <t xml:space="preserve">300×176</t>
  </si>
  <si>
    <t xml:space="preserve">ห้องพัก (BREATHE / REHEARSE / DEEP REST)</t>
  </si>
  <si>
    <t xml:space="preserve">Content/Art/UI/bf_card_001.png</t>
  </si>
  <si>
    <t xml:space="preserve">การ์ดตัวเลือก · คำและป้ายราคาโค้ดเขียนเอง</t>
  </si>
  <si>
    <t xml:space="preserve">Bf_Card_002</t>
  </si>
  <si>
    <t xml:space="preserve">Choice card (hover)</t>
  </si>
  <si>
    <t xml:space="preserve">เหมือน Bf_Card_001</t>
  </si>
  <si>
    <t xml:space="preserve">Content/Art/UI/bf_card_002.png</t>
  </si>
  <si>
    <t xml:space="preserve">Bf_Row_001</t>
  </si>
  <si>
    <t xml:space="preserve">List row (normal)</t>
  </si>
  <si>
    <t xml:space="preserve">1020*136</t>
  </si>
  <si>
    <t xml:space="preserve">510×68</t>
  </si>
  <si>
    <t xml:space="preserve">รายการของในร้าน (Wares)</t>
  </si>
  <si>
    <t xml:space="preserve">Content/Art/UI/bf_row_001.png</t>
  </si>
  <si>
    <t xml:space="preserve">แถวรายการ · ไอคอน ชื่อ ราคา โค้ดวางเอง</t>
  </si>
  <si>
    <t xml:space="preserve">Bf_Row_002</t>
  </si>
  <si>
    <t xml:space="preserve">List row (selected)</t>
  </si>
  <si>
    <t xml:space="preserve">1368*112</t>
  </si>
  <si>
    <t xml:space="preserve">684×56 · 510×68</t>
  </si>
  <si>
    <t xml:space="preserve">แถวที่เลือกในหน้าตั้งค่า · แถวที่เมาส์ชี้ในร้าน</t>
  </si>
  <si>
    <t xml:space="preserve">Content/Art/UI/bf_row_002.png</t>
  </si>
  <si>
    <t xml:space="preserve">แถบเฉียงจาง + ขีดขาวด้านซ้าย</t>
  </si>
  <si>
    <t xml:space="preserve">Bf_Speech_001</t>
  </si>
  <si>
    <t xml:space="preserve">Speech box</t>
  </si>
  <si>
    <t xml:space="preserve">660×130 · 388×104</t>
  </si>
  <si>
    <t xml:space="preserve">กล่องคำพูดคนขายในร้าน · กล่องข้อความมุมขวาล่างในดวล</t>
  </si>
  <si>
    <t xml:space="preserve">Content/Art/UI/bf_speech_001.png</t>
  </si>
  <si>
    <t xml:space="preserve">กล่องคำพูด · ป้ายชื่อคนพูดใช้ Bf_Tag_001 · ลูกศร ▼ ใช้ Ic_Next_001</t>
  </si>
  <si>
    <t xml:space="preserve">Bf_DuelPanel_001</t>
  </si>
  <si>
    <t xml:space="preserve">Duel bottom panel</t>
  </si>
  <si>
    <t xml:space="preserve">256*208</t>
  </si>
  <si>
    <t xml:space="preserve">184×104 · 662×104 · 388×104</t>
  </si>
  <si>
    <t xml:space="preserve">แถบล่างหน้าดวล 3 กล่อง : SIGNATURE (SPACE) · วงดนตรี · ข้อความ</t>
  </si>
  <si>
    <t xml:space="preserve">Content/Art/UI/bf_duelpanel_001.png</t>
  </si>
  <si>
    <t xml:space="preserve">กรอบเส้นคู่ + เพชรที่มุม · หน้าดวลพื้นซ้ายสว่าง ขวามืด</t>
  </si>
  <si>
    <t xml:space="preserve">Bf_MiniCard_001</t>
  </si>
  <si>
    <t xml:space="preserve">Duel band mini card (normal)</t>
  </si>
  <si>
    <t xml:space="preserve">256*176</t>
  </si>
  <si>
    <t xml:space="preserve">~70–160 × 88</t>
  </si>
  <si>
    <t xml:space="preserve">กล่องวงในดวล การ์ดเล็กของนักดนตรีแต่ละคน</t>
  </si>
  <si>
    <t xml:space="preserve">Content/Art/UI/bf_minicard_001.png</t>
  </si>
  <si>
    <t xml:space="preserve">การ์ดเล็ก มีช่องหน้า 38–48 px · ชื่อ กลุ่มเครื่อง ลูกศร โค้ดวางเอง</t>
  </si>
  <si>
    <t xml:space="preserve">Bf_MiniCard_002</t>
  </si>
  <si>
    <t xml:space="preserve">Duel band mini card (playing)</t>
  </si>
  <si>
    <t xml:space="preserve">เหมือน Bf_MiniCard_001</t>
  </si>
  <si>
    <t xml:space="preserve">Content/Art/UI/bf_minicard_002.png</t>
  </si>
  <si>
    <t xml:space="preserve">คนที่กำลังเล่นบีตนี้ (ตอนนี้พื้นขาว)</t>
  </si>
  <si>
    <t xml:space="preserve">Bf_Lesson_001</t>
  </si>
  <si>
    <t xml:space="preserve">Tutorial lesson card</t>
  </si>
  <si>
    <t xml:space="preserve">420 × 200–340</t>
  </si>
  <si>
    <t xml:space="preserve">Tutorial กล่องบทเรียนซ้าย</t>
  </si>
  <si>
    <t xml:space="preserve">Content/Art/UI/bf_lesson_001.png</t>
  </si>
  <si>
    <t xml:space="preserve">กล่องเข้มมีเงา · ป้าย LESSON / GOAL ใช้ Bf_Tag</t>
  </si>
  <si>
    <t xml:space="preserve">Bf_ArtFrame_001</t>
  </si>
  <si>
    <t xml:space="preserve">Art frame</t>
  </si>
  <si>
    <t xml:space="preserve">112×112 ถึง 960×236</t>
  </si>
  <si>
    <t xml:space="preserve">กรอบรอบภาพอาร์ต : เหตุการณ์ 540×450 · ร้าน · ห้องพัก · ภาพในกล่องเส้นทาง · หน้าเล็กหน้าโปรไฟล์</t>
  </si>
  <si>
    <t xml:space="preserve">Content/Art/UI/bf_artframe_001.png</t>
  </si>
  <si>
    <t xml:space="preserve">กรอบอย่างเดียว ตรงกลางโปร่ง (ภาพอาร์ตอยู่ข้างใต้) · มุม 32 px ในไฟล์</t>
  </si>
  <si>
    <t xml:space="preserve">Bf_Tag_001</t>
  </si>
  <si>
    <t xml:space="preserve">Tag (filled)</t>
  </si>
  <si>
    <t xml:space="preserve">96*36</t>
  </si>
  <si>
    <t xml:space="preserve">สูง 18 · กว้างตามคำ</t>
  </si>
  <si>
    <t xml:space="preserve">ป้ายคำ NEW · RECOVER · GOAL · SOLD · LESSON 01 · THE ARCHIVIST · THE RUN ENDS HERE</t>
  </si>
  <si>
    <t xml:space="preserve">Content/Art/UI/bf_tag_001.png</t>
  </si>
  <si>
    <t xml:space="preserve">ป้ายทึบ · หัวท้าย 12 px ห้ามยืด · คำโค้ดเขียนเอง</t>
  </si>
  <si>
    <t xml:space="preserve">Bf_Tag_002</t>
  </si>
  <si>
    <t xml:space="preserve">Tag (outline)</t>
  </si>
  <si>
    <t xml:space="preserve">ป้าย COSTS 30 SHARDS · FREE · SAVED · ราคา</t>
  </si>
  <si>
    <t xml:space="preserve">Content/Art/UI/bf_tag_002.png</t>
  </si>
  <si>
    <t xml:space="preserve">ป้ายเส้นกรอบ</t>
  </si>
  <si>
    <t xml:space="preserve">Bf_Rank_001</t>
  </si>
  <si>
    <t xml:space="preserve">Rank badge</t>
  </si>
  <si>
    <t xml:space="preserve">304*304</t>
  </si>
  <si>
    <t xml:space="preserve">152×152</t>
  </si>
  <si>
    <t xml:space="preserve">หน้าผลดวล (ชนะ) มุมขวาล่าง</t>
  </si>
  <si>
    <t xml:space="preserve">Content/Art/UI/bf_rank_001.png</t>
  </si>
  <si>
    <t xml:space="preserve">กรอบเพชร · ตัวอักษร S / A / B / C โค้ดเขียนเอง · อยู่บนพื้นสว่าง</t>
  </si>
  <si>
    <t xml:space="preserve">Bf_Banner_001</t>
  </si>
  <si>
    <t xml:space="preserve">Round banner</t>
  </si>
  <si>
    <t xml:space="preserve">2880*392</t>
  </si>
  <si>
    <t xml:space="preserve">1440×196 (เลยขอบจอ)</t>
  </si>
  <si>
    <t xml:space="preserve">ดวล ป้าย ROUND 1 / 3 ตอนเริ่มรอบ · Tutorial ป้าย LESSON CLEAR</t>
  </si>
  <si>
    <t xml:space="preserve">Content/Art/UI/bf_banner_001.png</t>
  </si>
  <si>
    <t xml:space="preserve">แถบดำเฉียงคาดกลางจอ · คำโค้ดเขียนเอง</t>
  </si>
  <si>
    <t xml:space="preserve">Bf_Ribbon_001</t>
  </si>
  <si>
    <t xml:space="preserve">Section ribbon</t>
  </si>
  <si>
    <t xml:space="preserve">740*44</t>
  </si>
  <si>
    <t xml:space="preserve">~370×22</t>
  </si>
  <si>
    <t xml:space="preserve">หน้าโปรไฟล์คอนดักเตอร์ หัวข้อ I PASSIVE / II SIGNATURE</t>
  </si>
  <si>
    <t xml:space="preserve">Content/Art/UI/bf_ribbon_001.png</t>
  </si>
  <si>
    <t xml:space="preserve">แถบหัวข้อปลายเฉียง</t>
  </si>
  <si>
    <t xml:space="preserve">TabBar_Name</t>
  </si>
  <si>
    <t xml:space="preserve">Tb_RunHud_001</t>
  </si>
  <si>
    <t xml:space="preserve">Run top bar</t>
  </si>
  <si>
    <t xml:space="preserve">2560*128</t>
  </si>
  <si>
    <t xml:space="preserve">แถบเต็มความกว้าง</t>
  </si>
  <si>
    <t xml:space="preserve">1280×64</t>
  </si>
  <si>
    <t xml:space="preserve">แถบบนทุกหน้าในรัน (ชื่อวง · คอนดักเตอร์ · โหมด · BREATH · SEATS · SHARDS · MOTIF)</t>
  </si>
  <si>
    <t xml:space="preserve">Content/Art/UI/tb_runhud_001.png</t>
  </si>
  <si>
    <t xml:space="preserve">พื้นแถบ + เส้นใต้ · ตัวหนังสือ ตัวเลข ไอคอน โค้ดวางเอง</t>
  </si>
  <si>
    <t xml:space="preserve">Tb_Breath_001</t>
  </si>
  <si>
    <t xml:space="preserve">Breath bar (frame)</t>
  </si>
  <si>
    <t xml:space="preserve">456*20</t>
  </si>
  <si>
    <t xml:space="preserve">150×10 · 228×10</t>
  </si>
  <si>
    <t xml:space="preserve">แถบบนในรัน · ป้ายมุมซ้ายบนในดวล · HOW TO PLAY หน้า 3</t>
  </si>
  <si>
    <t xml:space="preserve">Content/Art/UI/tb_breath_001.png</t>
  </si>
  <si>
    <t xml:space="preserve">รางแคปซูล + ขีดแบ่ง 10 ช่อง · ลม = เลือดของวง</t>
  </si>
  <si>
    <t xml:space="preserve">Tb_Breath_002</t>
  </si>
  <si>
    <t xml:space="preserve">Breath bar (fill)</t>
  </si>
  <si>
    <t xml:space="preserve">เหมือน Tb_Breath_001</t>
  </si>
  <si>
    <t xml:space="preserve">Content/Art/UI/tb_breath_002.png</t>
  </si>
  <si>
    <t xml:space="preserve">ส่วนเติม โค้ดตัดความยาวตามลมที่เหลือ</t>
  </si>
  <si>
    <t xml:space="preserve">Tb_Push_001</t>
  </si>
  <si>
    <t xml:space="preserve">Push line (track + plate)</t>
  </si>
  <si>
    <t xml:space="preserve">1104*88</t>
  </si>
  <si>
    <t xml:space="preserve">ราง 400×12 · ป้าย 552×44</t>
  </si>
  <si>
    <t xml:space="preserve">หน้าดวล ด้านบนกลาง YOU ↔ TACET</t>
  </si>
  <si>
    <t xml:space="preserve">Content/Art/UI/tb_push_001.png</t>
  </si>
  <si>
    <t xml:space="preserve">รางเส้นดัน · คำ YOU / TACET โค้ดเขียนเอง</t>
  </si>
  <si>
    <t xml:space="preserve">Tb_Push_002</t>
  </si>
  <si>
    <t xml:space="preserve">Push line (fill)</t>
  </si>
  <si>
    <t xml:space="preserve">800*24</t>
  </si>
  <si>
    <t xml:space="preserve">400×12</t>
  </si>
  <si>
    <t xml:space="preserve">เหมือน Tb_Push_001</t>
  </si>
  <si>
    <t xml:space="preserve">Content/Art/UI/tb_push_002.png</t>
  </si>
  <si>
    <t xml:space="preserve">ส่วนของเรา (ซ้าย) โค้ดตัดความยาว</t>
  </si>
  <si>
    <t xml:space="preserve">Tb_Push_003</t>
  </si>
  <si>
    <t xml:space="preserve">Push line (marker)</t>
  </si>
  <si>
    <t xml:space="preserve">24*48</t>
  </si>
  <si>
    <t xml:space="preserve">~12×24</t>
  </si>
  <si>
    <t xml:space="preserve">Content/Art/UI/tb_push_003.png</t>
  </si>
  <si>
    <t xml:space="preserve">ขีดบอกตำแหน่งเส้นตอนนี้</t>
  </si>
  <si>
    <t xml:space="preserve">Tb_DuelPlate_001</t>
  </si>
  <si>
    <t xml:space="preserve">Duel round plate</t>
  </si>
  <si>
    <t xml:space="preserve">564*200</t>
  </si>
  <si>
    <t xml:space="preserve">282×100</t>
  </si>
  <si>
    <t xml:space="preserve">หน้าดวล มุมซ้ายบน (ROUND · BEAT · BPM · BREATH)</t>
  </si>
  <si>
    <t xml:space="preserve">Content/Art/UI/tb_duelplate_001.png</t>
  </si>
  <si>
    <t xml:space="preserve">ป้ายเข้มปลายขวาเฉียง · ตัวหนังสือและแถบลมโค้ดวางเอง</t>
  </si>
  <si>
    <t xml:space="preserve">Tb_EnemyPlate_001</t>
  </si>
  <si>
    <t xml:space="preserve">Enemy name plate</t>
  </si>
  <si>
    <t xml:space="preserve">560*128</t>
  </si>
  <si>
    <t xml:space="preserve">280×64</t>
  </si>
  <si>
    <t xml:space="preserve">หน้าดวล มุมขวาบน (ชื่อศัตรู · ชนิด · กลไก)</t>
  </si>
  <si>
    <t xml:space="preserve">Content/Art/UI/tb_enemyplate_001.png</t>
  </si>
  <si>
    <t xml:space="preserve">ป้ายเข้มปลายซ้ายเฉียง</t>
  </si>
  <si>
    <t xml:space="preserve">Tb_EnemyPlate_002</t>
  </si>
  <si>
    <t xml:space="preserve">Song name strip</t>
  </si>
  <si>
    <t xml:space="preserve">540*44</t>
  </si>
  <si>
    <t xml:space="preserve">270×22</t>
  </si>
  <si>
    <t xml:space="preserve">หน้าดวล ใต้ป้ายชื่อศัตรู (ชื่อเพลง / ผู้แต่ง)</t>
  </si>
  <si>
    <t xml:space="preserve">Content/Art/UI/tb_enemyplate_002.png</t>
  </si>
  <si>
    <t xml:space="preserve">แถบบาง</t>
  </si>
  <si>
    <t xml:space="preserve">Tb_TutorialHead_001</t>
  </si>
  <si>
    <t xml:space="preserve">Tutorial title plate</t>
  </si>
  <si>
    <t xml:space="preserve">1120*160</t>
  </si>
  <si>
    <t xml:space="preserve">560×80</t>
  </si>
  <si>
    <t xml:space="preserve">Tutorial มุมซ้ายบน (TUTORIAL · LESSON 01 / 07 · ชื่อบท)</t>
  </si>
  <si>
    <t xml:space="preserve">Content/Art/UI/tb_tutorialhead_001.png</t>
  </si>
  <si>
    <t xml:space="preserve">ป้ายเข้มปลายขวาเฉียง</t>
  </si>
  <si>
    <t xml:space="preserve">Tb_TutorialProgress_001</t>
  </si>
  <si>
    <t xml:space="preserve">Tutorial progress plate</t>
  </si>
  <si>
    <t xml:space="preserve">880*160</t>
  </si>
  <si>
    <t xml:space="preserve">440×80</t>
  </si>
  <si>
    <t xml:space="preserve">Tutorial มุมขวาบน (PROGRESS)</t>
  </si>
  <si>
    <t xml:space="preserve">Content/Art/UI/tb_tutorialprogress_001.png</t>
  </si>
  <si>
    <t xml:space="preserve">ป้ายเข้มปลายซ้ายเฉียง · จุดความคืบหน้าใช้ Ic_Pip</t>
  </si>
  <si>
    <t xml:space="preserve">Tb_Footer_001</t>
  </si>
  <si>
    <t xml:space="preserve">Bottom bar</t>
  </si>
  <si>
    <t xml:space="preserve">2560*204</t>
  </si>
  <si>
    <t xml:space="preserve">1280×102</t>
  </si>
  <si>
    <t xml:space="preserve">Tutorial แถบล่าง (ปุ่ม TITLE / SKIP + คำแนะนำ)</t>
  </si>
  <si>
    <t xml:space="preserve">Content/Art/UI/tb_footer_001.png</t>
  </si>
  <si>
    <t xml:space="preserve">พื้นแถบล่าง</t>
  </si>
  <si>
    <t xml:space="preserve">Tb_Slider_001</t>
  </si>
  <si>
    <t xml:space="preserve">Slider track</t>
  </si>
  <si>
    <t xml:space="preserve">520*32</t>
  </si>
  <si>
    <t xml:space="preserve">260×16 · 160×16</t>
  </si>
  <si>
    <t xml:space="preserve">หน้าตั้งค่า (เสียง 3 แถว · STROKE TIMING)</t>
  </si>
  <si>
    <t xml:space="preserve">Content/Art/UI/tb_slider_001.png</t>
  </si>
  <si>
    <t xml:space="preserve">รางเลื่อน + ขีดสเกล</t>
  </si>
  <si>
    <t xml:space="preserve">Tb_Slider_002</t>
  </si>
  <si>
    <t xml:space="preserve">Slider knob (normal)</t>
  </si>
  <si>
    <t xml:space="preserve">~14</t>
  </si>
  <si>
    <t xml:space="preserve">เหมือน Tb_Slider_001</t>
  </si>
  <si>
    <t xml:space="preserve">Content/Art/UI/tb_slider_002.png</t>
  </si>
  <si>
    <t xml:space="preserve">ปุ่มเลื่อน (ตอนนี้เพชร)</t>
  </si>
  <si>
    <t xml:space="preserve">Tb_Slider_003</t>
  </si>
  <si>
    <t xml:space="preserve">Slider knob (hover / dragging)</t>
  </si>
  <si>
    <t xml:space="preserve">~18</t>
  </si>
  <si>
    <t xml:space="preserve">Content/Art/UI/tb_slider_003.png</t>
  </si>
  <si>
    <t xml:space="preserve">ปุ่มเลื่อนตอนชี้/ลาก</t>
  </si>
  <si>
    <t xml:space="preserve">Tb_Check_001</t>
  </si>
  <si>
    <t xml:space="preserve">Checkbox (off)</t>
  </si>
  <si>
    <t xml:space="preserve">52*52</t>
  </si>
  <si>
    <t xml:space="preserve">26×26</t>
  </si>
  <si>
    <t xml:space="preserve">หน้าตั้งค่า FULL SCREEN</t>
  </si>
  <si>
    <t xml:space="preserve">Content/Art/UI/tb_check_001.png</t>
  </si>
  <si>
    <t xml:space="preserve">ช่องว่าง</t>
  </si>
  <si>
    <t xml:space="preserve">Tb_Check_002</t>
  </si>
  <si>
    <t xml:space="preserve">Checkbox (on)</t>
  </si>
  <si>
    <t xml:space="preserve">Content/Art/UI/tb_check_002.png</t>
  </si>
  <si>
    <t xml:space="preserve">มีเครื่องหมายถูก</t>
  </si>
  <si>
    <t xml:space="preserve">Tb_TitleNote_001</t>
  </si>
  <si>
    <t xml:space="preserve">Title tip strip</t>
  </si>
  <si>
    <t xml:space="preserve">1440*76</t>
  </si>
  <si>
    <t xml:space="preserve">720×38</t>
  </si>
  <si>
    <t xml:space="preserve">หน้าแรก แถบเคล็ดลับ NOTE ด้านล่าง</t>
  </si>
  <si>
    <t xml:space="preserve">Content/Art/UI/tb_titlenote_001.png</t>
  </si>
  <si>
    <t xml:space="preserve">แถบบาง · ป้าย NOTE ใช้ Bf_Tag_001</t>
  </si>
  <si>
    <t xml:space="preserve">Other_Name</t>
  </si>
  <si>
    <t xml:space="preserve">Ot_Logo_001</t>
  </si>
  <si>
    <t xml:space="preserve">Game logo  TACET 4'33</t>
  </si>
  <si>
    <t xml:space="preserve">1760*760</t>
  </si>
  <si>
    <t xml:space="preserve">~440×190</t>
  </si>
  <si>
    <t xml:space="preserve">หน้าแรก มุมซ้ายบน</t>
  </si>
  <si>
    <t xml:space="preserve">Content/Art/UI/ot_logo_001.png</t>
  </si>
  <si>
    <t xml:space="preserve">ชิ้นเดียวที่ใส่ตัวหนังสือในภาพได้ · ส่งไฟล์ใหญ่ไว้ใช้กับสไลด์/หน้าปกด้วย · พื้นโปร่ง</t>
  </si>
  <si>
    <t xml:space="preserve">Ot_Icon_001</t>
  </si>
  <si>
    <t xml:space="preserve">Game icon (.exe / window / taskbar)</t>
  </si>
  <si>
    <t xml:space="preserve">PSD, PNG, ICO</t>
  </si>
  <si>
    <t xml:space="preserve">16 · 32 · 48 · 256</t>
  </si>
  <si>
    <t xml:space="preserve">ไอคอนไฟล์ TACET4'33.exe · หน้าต่างเกม · taskbar</t>
  </si>
  <si>
    <t xml:space="preserve">Tacetno433/Icon.ico + Icon.bmp</t>
  </si>
  <si>
    <t xml:space="preserve">แทนไอคอน MonoGame ที่ติดมา (Tacetno433/Icon.ico + Icon.bmp) · ต้องอ่านออกตอนเล็ก 16 px</t>
  </si>
  <si>
    <t xml:space="preserve">Ot_TitleBg_001</t>
  </si>
  <si>
    <t xml:space="preserve">Title background</t>
  </si>
  <si>
    <t xml:space="preserve">2560*1440</t>
  </si>
  <si>
    <t xml:space="preserve">ภาพเต็มจอ</t>
  </si>
  <si>
    <t xml:space="preserve">1280×720</t>
  </si>
  <si>
    <t xml:space="preserve">หน้าแรก</t>
  </si>
  <si>
    <t xml:space="preserve">Content/Art/UI/ot_titlebg_001.png</t>
  </si>
  <si>
    <t xml:space="preserve">ครึ่งขวาโค้ดวาดความเงียบ + สุริยุปราคาทับ · ครึ่งซ้ายมีโลโก้และเมนูทับ → พื้นหลังควรเรียบ ไม่แย่งสายตา</t>
  </si>
  <si>
    <t xml:space="preserve">Ot_GalleryBg_001</t>
  </si>
  <si>
    <t xml:space="preserve">Conductor gallery background</t>
  </si>
  <si>
    <t xml:space="preserve">หน้าเลือกคอนดักเตอร์ + หน้าโปรไฟล์</t>
  </si>
  <si>
    <t xml:space="preserve">Content/Art/UI/ot_gallerybg_001.png</t>
  </si>
  <si>
    <t xml:space="preserve">ฉากห้องแกลเลอรี/เวที · กรอบรูปคอนดักเตอร์วางทับกลางจอ · ม่านตอนเข้าหน้าเป็นโค้ด</t>
  </si>
  <si>
    <t xml:space="preserve">Ot_CurtainBg_001</t>
  </si>
  <si>
    <t xml:space="preserve">Curtain Call background</t>
  </si>
  <si>
    <t xml:space="preserve">หน้าจบรัน (SILENCE / BRAVO)</t>
  </si>
  <si>
    <t xml:space="preserve">Content/Art/UI/ot_curtainbg_001.png</t>
  </si>
  <si>
    <t xml:space="preserve">ครึ่งขวามีกล่อง Programme ทับ · วงโค้งคำนับอยู่ซ้ายล่าง</t>
  </si>
  <si>
    <t xml:space="preserve">Ot_Cursor_001</t>
  </si>
  <si>
    <t xml:space="preserve">Mouse pointer</t>
  </si>
  <si>
    <t xml:space="preserve">32×32</t>
  </si>
  <si>
    <t xml:space="preserve">เมาส์ในหน้าเมนูทุกหน้า (ในดวลเมาส์ถูกซ่อน ใช้ไม้บาตองแทน)</t>
  </si>
  <si>
    <t xml:space="preserve">Content/Art/UI/ot_cursor_001.png</t>
  </si>
  <si>
    <t xml:space="preserve">ตอนนี้ใช้ลูกศรของ Windows · จุดกดอยู่มุมซ้ายบนของภาพ</t>
  </si>
  <si>
    <t xml:space="preserve">Ot_Divider_001</t>
  </si>
  <si>
    <t xml:space="preserve">Heading divider</t>
  </si>
  <si>
    <t xml:space="preserve">840*20</t>
  </si>
  <si>
    <t xml:space="preserve">~420×10</t>
  </si>
  <si>
    <t xml:space="preserve">ใต้หัวข้อกลางจอ (THE ENSEMBLE GATHERS · CHOOSE YOUR CONDUCTOR · ป้ายรอบ ฯลฯ)</t>
  </si>
  <si>
    <t xml:space="preserve">Content/Art/UI/ot_divider_001.png</t>
  </si>
  <si>
    <t xml:space="preserve">เส้นมีเพชรตรงกลาง</t>
  </si>
  <si>
    <t xml:space="preserve">Ot_Rule_001</t>
  </si>
  <si>
    <t xml:space="preserve">Heading rule</t>
  </si>
  <si>
    <t xml:space="preserve">800*16</t>
  </si>
  <si>
    <t xml:space="preserve">กว้างตามหัวข้อ · สูง ~8</t>
  </si>
  <si>
    <t xml:space="preserve">ใต้หัวข้อชิดซ้าย (หน้าตั้งค่า · HOW TO PLAY · ร้าน · Curtain Call) · ข้างคำ 4'33 หน้าแรก</t>
  </si>
  <si>
    <t xml:space="preserve">Content/Art/UI/ot_rule_001.png</t>
  </si>
  <si>
    <t xml:space="preserve">เส้นปลายเป็นเพชร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</si>
</sst>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F4CCCC"/>
      </patternFill>
    </fill>
    <fill>
      <patternFill patternType="solid">
        <fgColor rgb="FFF4CCCC"/>
        <bgColor rgb="FFD9D9D9"/>
      </patternFill>
    </fill>
    <fill>
      <patternFill patternType="solid">
        <fgColor rgb="FFB6D7A8"/>
        <bgColor rgb="FFD9D9D9"/>
      </patternFill>
    </fill>
    <fill>
      <patternFill patternType="solid">
        <fgColor rgb="FF9FC5E8"/>
        <bgColor rgb="FFB6D7A8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93C47D"/>
        </patternFill>
      </fill>
    </dxf>
    <dxf>
      <fill>
        <patternFill>
          <bgColor rgb="FFFFE599"/>
        </patternFill>
      </fill>
    </dxf>
    <dxf>
      <fill>
        <patternFill>
          <bgColor rgb="FF9FC5E8"/>
        </patternFill>
      </fill>
    </dxf>
    <dxf>
      <fill>
        <patternFill>
          <bgColor rgb="FFD5A6BD"/>
        </patternFill>
      </fill>
    </dxf>
    <dxf>
      <fill>
        <patternFill>
          <bgColor rgb="FF999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9"/>
      <rgbColor rgb="FF9FC5E8"/>
      <rgbColor rgb="FFFF99CC"/>
      <rgbColor rgb="FFD5A6BD"/>
      <rgbColor rgb="FFF4CCCC"/>
      <rgbColor rgb="FF3366FF"/>
      <rgbColor rgb="FF33CCCC"/>
      <rgbColor rgb="FF93C47D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7.png"/><Relationship Id="rId12" Type="http://schemas.openxmlformats.org/officeDocument/2006/relationships/image" Target="../media/image7.png"/><Relationship Id="rId13" Type="http://schemas.openxmlformats.org/officeDocument/2006/relationships/image" Target="../media/image8.png"/><Relationship Id="rId14" Type="http://schemas.openxmlformats.org/officeDocument/2006/relationships/image" Target="../media/image8.png"/><Relationship Id="rId15" Type="http://schemas.openxmlformats.org/officeDocument/2006/relationships/image" Target="../media/image9.png"/><Relationship Id="rId16" Type="http://schemas.openxmlformats.org/officeDocument/2006/relationships/image" Target="../media/image10.png"/><Relationship Id="rId17" Type="http://schemas.openxmlformats.org/officeDocument/2006/relationships/image" Target="../media/image11.png"/><Relationship Id="rId18" Type="http://schemas.openxmlformats.org/officeDocument/2006/relationships/image" Target="../media/image12.png"/><Relationship Id="rId19" Type="http://schemas.openxmlformats.org/officeDocument/2006/relationships/image" Target="../media/image13.png"/><Relationship Id="rId20" Type="http://schemas.openxmlformats.org/officeDocument/2006/relationships/image" Target="../media/image14.png"/><Relationship Id="rId21" Type="http://schemas.openxmlformats.org/officeDocument/2006/relationships/image" Target="../media/image15.png"/><Relationship Id="rId22" Type="http://schemas.openxmlformats.org/officeDocument/2006/relationships/image" Target="../media/image16.png"/><Relationship Id="rId23" Type="http://schemas.openxmlformats.org/officeDocument/2006/relationships/image" Target="../media/image17.png"/><Relationship Id="rId24" Type="http://schemas.openxmlformats.org/officeDocument/2006/relationships/image" Target="../media/image18.png"/><Relationship Id="rId25" Type="http://schemas.openxmlformats.org/officeDocument/2006/relationships/image" Target="../media/image19.png"/><Relationship Id="rId26" Type="http://schemas.openxmlformats.org/officeDocument/2006/relationships/image" Target="../media/image20.png"/><Relationship Id="rId27" Type="http://schemas.openxmlformats.org/officeDocument/2006/relationships/image" Target="../media/image21.png"/><Relationship Id="rId28" Type="http://schemas.openxmlformats.org/officeDocument/2006/relationships/image" Target="../media/image22.png"/><Relationship Id="rId29" Type="http://schemas.openxmlformats.org/officeDocument/2006/relationships/image" Target="../media/image22.png"/><Relationship Id="rId30" Type="http://schemas.openxmlformats.org/officeDocument/2006/relationships/image" Target="../media/image21.png"/><Relationship Id="rId31" Type="http://schemas.openxmlformats.org/officeDocument/2006/relationships/image" Target="../media/image22.png"/><Relationship Id="rId32" Type="http://schemas.openxmlformats.org/officeDocument/2006/relationships/image" Target="../media/image21.png"/><Relationship Id="rId33" Type="http://schemas.openxmlformats.org/officeDocument/2006/relationships/image" Target="../media/image22.png"/><Relationship Id="rId34" Type="http://schemas.openxmlformats.org/officeDocument/2006/relationships/image" Target="../media/image23.png"/><Relationship Id="rId35" Type="http://schemas.openxmlformats.org/officeDocument/2006/relationships/image" Target="../media/image23.png"/><Relationship Id="rId36" Type="http://schemas.openxmlformats.org/officeDocument/2006/relationships/image" Target="../media/image24.png"/><Relationship Id="rId37" Type="http://schemas.openxmlformats.org/officeDocument/2006/relationships/image" Target="../media/image24.png"/><Relationship Id="rId38" Type="http://schemas.openxmlformats.org/officeDocument/2006/relationships/image" Target="../media/image24.png"/><Relationship Id="rId39" Type="http://schemas.openxmlformats.org/officeDocument/2006/relationships/image" Target="../media/image25.png"/><Relationship Id="rId40" Type="http://schemas.openxmlformats.org/officeDocument/2006/relationships/image" Target="../media/image26.png"/><Relationship Id="rId41" Type="http://schemas.openxmlformats.org/officeDocument/2006/relationships/image" Target="../media/image27.png"/><Relationship Id="rId42" Type="http://schemas.openxmlformats.org/officeDocument/2006/relationships/image" Target="../media/image28.png"/><Relationship Id="rId43" Type="http://schemas.openxmlformats.org/officeDocument/2006/relationships/image" Target="../media/image29.png"/><Relationship Id="rId44" Type="http://schemas.openxmlformats.org/officeDocument/2006/relationships/image" Target="../media/image29.png"/><Relationship Id="rId45" Type="http://schemas.openxmlformats.org/officeDocument/2006/relationships/image" Target="../media/image29.png"/><Relationship Id="rId46" Type="http://schemas.openxmlformats.org/officeDocument/2006/relationships/image" Target="../media/image29.png"/><Relationship Id="rId47" Type="http://schemas.openxmlformats.org/officeDocument/2006/relationships/image" Target="../media/image29.png"/><Relationship Id="rId48" Type="http://schemas.openxmlformats.org/officeDocument/2006/relationships/image" Target="../media/image29.png"/><Relationship Id="rId49" Type="http://schemas.openxmlformats.org/officeDocument/2006/relationships/image" Target="../media/image29.png"/><Relationship Id="rId50" Type="http://schemas.openxmlformats.org/officeDocument/2006/relationships/image" Target="../media/image29.png"/><Relationship Id="rId51" Type="http://schemas.openxmlformats.org/officeDocument/2006/relationships/image" Target="../media/image30.png"/><Relationship Id="rId52" Type="http://schemas.openxmlformats.org/officeDocument/2006/relationships/image" Target="../media/image30.png"/><Relationship Id="rId53" Type="http://schemas.openxmlformats.org/officeDocument/2006/relationships/image" Target="../media/image30.png"/><Relationship Id="rId54" Type="http://schemas.openxmlformats.org/officeDocument/2006/relationships/image" Target="../media/image30.png"/><Relationship Id="rId55" Type="http://schemas.openxmlformats.org/officeDocument/2006/relationships/image" Target="../media/image31.png"/><Relationship Id="rId56" Type="http://schemas.openxmlformats.org/officeDocument/2006/relationships/image" Target="../media/image32.png"/><Relationship Id="rId57" Type="http://schemas.openxmlformats.org/officeDocument/2006/relationships/image" Target="../media/image33.png"/><Relationship Id="rId58" Type="http://schemas.openxmlformats.org/officeDocument/2006/relationships/image" Target="../media/image33.png"/><Relationship Id="rId59" Type="http://schemas.openxmlformats.org/officeDocument/2006/relationships/image" Target="../media/image28.png"/><Relationship Id="rId60" Type="http://schemas.openxmlformats.org/officeDocument/2006/relationships/image" Target="../media/image34.png"/><Relationship Id="rId61" Type="http://schemas.openxmlformats.org/officeDocument/2006/relationships/image" Target="../media/image34.png"/><Relationship Id="rId62" Type="http://schemas.openxmlformats.org/officeDocument/2006/relationships/image" Target="../media/image35.png"/><Relationship Id="rId63" Type="http://schemas.openxmlformats.org/officeDocument/2006/relationships/image" Target="../media/image36.png"/><Relationship Id="rId64" Type="http://schemas.openxmlformats.org/officeDocument/2006/relationships/image" Target="../media/image36.png"/><Relationship Id="rId65" Type="http://schemas.openxmlformats.org/officeDocument/2006/relationships/image" Target="../media/image21.png"/><Relationship Id="rId66" Type="http://schemas.openxmlformats.org/officeDocument/2006/relationships/image" Target="../media/image21.png"/><Relationship Id="rId67" Type="http://schemas.openxmlformats.org/officeDocument/2006/relationships/image" Target="../media/image37.png"/><Relationship Id="rId68" Type="http://schemas.openxmlformats.org/officeDocument/2006/relationships/image" Target="../media/image37.png"/><Relationship Id="rId69" Type="http://schemas.openxmlformats.org/officeDocument/2006/relationships/image" Target="../media/image38.png"/><Relationship Id="rId70" Type="http://schemas.openxmlformats.org/officeDocument/2006/relationships/image" Target="../media/image39.png"/><Relationship Id="rId71" Type="http://schemas.openxmlformats.org/officeDocument/2006/relationships/image" Target="../media/image40.png"/><Relationship Id="rId72" Type="http://schemas.openxmlformats.org/officeDocument/2006/relationships/image" Target="../media/image41.png"/><Relationship Id="rId73" Type="http://schemas.openxmlformats.org/officeDocument/2006/relationships/image" Target="../media/image42.png"/><Relationship Id="rId74" Type="http://schemas.openxmlformats.org/officeDocument/2006/relationships/image" Target="../media/image42.png"/><Relationship Id="rId75" Type="http://schemas.openxmlformats.org/officeDocument/2006/relationships/image" Target="../media/image43.png"/><Relationship Id="rId76" Type="http://schemas.openxmlformats.org/officeDocument/2006/relationships/image" Target="../media/image44.png"/><Relationship Id="rId77" Type="http://schemas.openxmlformats.org/officeDocument/2006/relationships/image" Target="../media/image45.png"/><Relationship Id="rId78" Type="http://schemas.openxmlformats.org/officeDocument/2006/relationships/image" Target="../media/image46.png"/><Relationship Id="rId79" Type="http://schemas.openxmlformats.org/officeDocument/2006/relationships/image" Target="../media/image47.png"/><Relationship Id="rId80" Type="http://schemas.openxmlformats.org/officeDocument/2006/relationships/image" Target="../media/image48.png"/><Relationship Id="rId81" Type="http://schemas.openxmlformats.org/officeDocument/2006/relationships/image" Target="../media/image49.png"/><Relationship Id="rId82" Type="http://schemas.openxmlformats.org/officeDocument/2006/relationships/image" Target="../media/image50.png"/><Relationship Id="rId83" Type="http://schemas.openxmlformats.org/officeDocument/2006/relationships/image" Target="../media/image51.png"/><Relationship Id="rId84" Type="http://schemas.openxmlformats.org/officeDocument/2006/relationships/image" Target="../media/image51.png"/><Relationship Id="rId85" Type="http://schemas.openxmlformats.org/officeDocument/2006/relationships/image" Target="../media/image52.png"/><Relationship Id="rId86" Type="http://schemas.openxmlformats.org/officeDocument/2006/relationships/image" Target="../media/image52.png"/><Relationship Id="rId87" Type="http://schemas.openxmlformats.org/officeDocument/2006/relationships/image" Target="../media/image52.png"/><Relationship Id="rId88" Type="http://schemas.openxmlformats.org/officeDocument/2006/relationships/image" Target="../media/image53.png"/><Relationship Id="rId89" Type="http://schemas.openxmlformats.org/officeDocument/2006/relationships/image" Target="../media/image54.png"/><Relationship Id="rId90" Type="http://schemas.openxmlformats.org/officeDocument/2006/relationships/image" Target="../media/image54.png"/><Relationship Id="rId91" Type="http://schemas.openxmlformats.org/officeDocument/2006/relationships/image" Target="../media/image55.png"/><Relationship Id="rId92" Type="http://schemas.openxmlformats.org/officeDocument/2006/relationships/image" Target="../media/image56.png"/><Relationship Id="rId93" Type="http://schemas.openxmlformats.org/officeDocument/2006/relationships/image" Target="../media/image57.png"/><Relationship Id="rId94" Type="http://schemas.openxmlformats.org/officeDocument/2006/relationships/image" Target="../media/image58.png"/><Relationship Id="rId95" Type="http://schemas.openxmlformats.org/officeDocument/2006/relationships/image" Target="../media/image58.png"/><Relationship Id="rId96" Type="http://schemas.openxmlformats.org/officeDocument/2006/relationships/image" Target="../media/image58.png"/><Relationship Id="rId97" Type="http://schemas.openxmlformats.org/officeDocument/2006/relationships/image" Target="../media/image59.png"/><Relationship Id="rId98" Type="http://schemas.openxmlformats.org/officeDocument/2006/relationships/image" Target="../media/image59.png"/><Relationship Id="rId99" Type="http://schemas.openxmlformats.org/officeDocument/2006/relationships/image" Target="../media/image60.png"/><Relationship Id="rId100" Type="http://schemas.openxmlformats.org/officeDocument/2006/relationships/image" Target="../media/image61.png"/><Relationship Id="rId101" Type="http://schemas.openxmlformats.org/officeDocument/2006/relationships/image" Target="../media/image62.png"/><Relationship Id="rId102" Type="http://schemas.openxmlformats.org/officeDocument/2006/relationships/image" Target="../media/image63.png"/><Relationship Id="rId103" Type="http://schemas.openxmlformats.org/officeDocument/2006/relationships/image" Target="../media/image64.png"/><Relationship Id="rId104" Type="http://schemas.openxmlformats.org/officeDocument/2006/relationships/image" Target="../media/image65.png"/><Relationship Id="rId105" Type="http://schemas.openxmlformats.org/officeDocument/2006/relationships/image" Target="../media/image6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4</xdr:col>
      <xdr:colOff>1904760</xdr:colOff>
      <xdr:row>3</xdr:row>
      <xdr:rowOff>428400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178160" y="971640"/>
          <a:ext cx="1904760" cy="4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1904760</xdr:colOff>
      <xdr:row>4</xdr:row>
      <xdr:rowOff>428400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178160" y="1962000"/>
          <a:ext cx="1904760" cy="4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1904760</xdr:colOff>
      <xdr:row>5</xdr:row>
      <xdr:rowOff>647280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4178160" y="2952720"/>
          <a:ext cx="190476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1904760</xdr:colOff>
      <xdr:row>6</xdr:row>
      <xdr:rowOff>647280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4178160" y="3943440"/>
          <a:ext cx="190476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1904760</xdr:colOff>
      <xdr:row>7</xdr:row>
      <xdr:rowOff>914040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4178160" y="4933800"/>
          <a:ext cx="19047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1904760</xdr:colOff>
      <xdr:row>8</xdr:row>
      <xdr:rowOff>790200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4178160" y="5924520"/>
          <a:ext cx="1904760" cy="79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914040</xdr:colOff>
      <xdr:row>9</xdr:row>
      <xdr:rowOff>914040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4178160" y="691524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914040</xdr:colOff>
      <xdr:row>10</xdr:row>
      <xdr:rowOff>914040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4178160" y="79056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1904760</xdr:colOff>
      <xdr:row>11</xdr:row>
      <xdr:rowOff>352080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4178160" y="8896320"/>
          <a:ext cx="1904760" cy="35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1904760</xdr:colOff>
      <xdr:row>12</xdr:row>
      <xdr:rowOff>352080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4178160" y="9887040"/>
          <a:ext cx="1904760" cy="35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1904760</xdr:colOff>
      <xdr:row>13</xdr:row>
      <xdr:rowOff>590040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4178160" y="10877400"/>
          <a:ext cx="190476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1904760</xdr:colOff>
      <xdr:row>14</xdr:row>
      <xdr:rowOff>590040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4178160" y="11868120"/>
          <a:ext cx="190476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1904760</xdr:colOff>
      <xdr:row>15</xdr:row>
      <xdr:rowOff>771120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4178160" y="12858840"/>
          <a:ext cx="190476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1904760</xdr:colOff>
      <xdr:row>16</xdr:row>
      <xdr:rowOff>771120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4178160" y="13849200"/>
          <a:ext cx="190476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666360</xdr:colOff>
      <xdr:row>18</xdr:row>
      <xdr:rowOff>285480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4178160" y="15087600"/>
          <a:ext cx="66636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485280</xdr:colOff>
      <xdr:row>19</xdr:row>
      <xdr:rowOff>914040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4178160" y="16078320"/>
          <a:ext cx="4852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666360</xdr:colOff>
      <xdr:row>20</xdr:row>
      <xdr:rowOff>914040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4178160" y="17068680"/>
          <a:ext cx="666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704520</xdr:colOff>
      <xdr:row>21</xdr:row>
      <xdr:rowOff>247320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4178160" y="18059400"/>
          <a:ext cx="7045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514080</xdr:colOff>
      <xdr:row>22</xdr:row>
      <xdr:rowOff>247320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4178160" y="19050120"/>
          <a:ext cx="51408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380520</xdr:colOff>
      <xdr:row>23</xdr:row>
      <xdr:rowOff>380520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4178160" y="2004048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380520</xdr:colOff>
      <xdr:row>24</xdr:row>
      <xdr:rowOff>380520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4178160" y="210312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380520</xdr:colOff>
      <xdr:row>25</xdr:row>
      <xdr:rowOff>380520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4178160" y="2202192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1238040</xdr:colOff>
      <xdr:row>26</xdr:row>
      <xdr:rowOff>380520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4178160" y="23012280"/>
          <a:ext cx="123804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1333080</xdr:colOff>
      <xdr:row>34</xdr:row>
      <xdr:rowOff>914040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4178160" y="30937320"/>
          <a:ext cx="13330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1333080</xdr:colOff>
      <xdr:row>35</xdr:row>
      <xdr:rowOff>914040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4178160" y="31927680"/>
          <a:ext cx="13330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1333080</xdr:colOff>
      <xdr:row>40</xdr:row>
      <xdr:rowOff>914040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4178160" y="36880920"/>
          <a:ext cx="13330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1904760</xdr:colOff>
      <xdr:row>47</xdr:row>
      <xdr:rowOff>371160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4178160" y="43814880"/>
          <a:ext cx="190476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1904760</xdr:colOff>
      <xdr:row>48</xdr:row>
      <xdr:rowOff>85320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4178160" y="44805600"/>
          <a:ext cx="1904760" cy="8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1904760</xdr:colOff>
      <xdr:row>49</xdr:row>
      <xdr:rowOff>85320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4178160" y="45796320"/>
          <a:ext cx="1904760" cy="8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1904760</xdr:colOff>
      <xdr:row>51</xdr:row>
      <xdr:rowOff>371160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4178160" y="47777400"/>
          <a:ext cx="190476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1904760</xdr:colOff>
      <xdr:row>52</xdr:row>
      <xdr:rowOff>85320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4178160" y="48768120"/>
          <a:ext cx="1904760" cy="8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1904760</xdr:colOff>
      <xdr:row>53</xdr:row>
      <xdr:rowOff>371160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4178160" y="49758480"/>
          <a:ext cx="190476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1904760</xdr:colOff>
      <xdr:row>54</xdr:row>
      <xdr:rowOff>85320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4178160" y="50749200"/>
          <a:ext cx="1904760" cy="8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1523520</xdr:colOff>
      <xdr:row>55</xdr:row>
      <xdr:rowOff>228240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4178160" y="51739920"/>
          <a:ext cx="152352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1523520</xdr:colOff>
      <xdr:row>56</xdr:row>
      <xdr:rowOff>228240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4178160" y="52730280"/>
          <a:ext cx="152352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1904760</xdr:colOff>
      <xdr:row>57</xdr:row>
      <xdr:rowOff>313920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4178160" y="53721000"/>
          <a:ext cx="1904760" cy="31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1904760</xdr:colOff>
      <xdr:row>58</xdr:row>
      <xdr:rowOff>313920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4178160" y="54711720"/>
          <a:ext cx="1904760" cy="31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1904760</xdr:colOff>
      <xdr:row>59</xdr:row>
      <xdr:rowOff>313920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4178160" y="55702080"/>
          <a:ext cx="1904760" cy="31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285480</xdr:colOff>
      <xdr:row>60</xdr:row>
      <xdr:rowOff>285480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4178160" y="56692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761760</xdr:colOff>
      <xdr:row>61</xdr:row>
      <xdr:rowOff>428400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4178160" y="57683520"/>
          <a:ext cx="761760" cy="4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380520</xdr:colOff>
      <xdr:row>62</xdr:row>
      <xdr:rowOff>380520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4178160" y="5867388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1199880</xdr:colOff>
      <xdr:row>63</xdr:row>
      <xdr:rowOff>914040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4178160" y="59664600"/>
          <a:ext cx="11998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1904760</xdr:colOff>
      <xdr:row>64</xdr:row>
      <xdr:rowOff>685440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4178160" y="60655320"/>
          <a:ext cx="1904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1904760</xdr:colOff>
      <xdr:row>65</xdr:row>
      <xdr:rowOff>685440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4178160" y="61645680"/>
          <a:ext cx="1904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1904760</xdr:colOff>
      <xdr:row>66</xdr:row>
      <xdr:rowOff>685440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4178160" y="62636400"/>
          <a:ext cx="1904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1904760</xdr:colOff>
      <xdr:row>67</xdr:row>
      <xdr:rowOff>685440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4178160" y="63627120"/>
          <a:ext cx="1904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1904760</xdr:colOff>
      <xdr:row>68</xdr:row>
      <xdr:rowOff>685440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4178160" y="64617480"/>
          <a:ext cx="1904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1904760</xdr:colOff>
      <xdr:row>69</xdr:row>
      <xdr:rowOff>685440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4178160" y="65608200"/>
          <a:ext cx="1904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1904760</xdr:colOff>
      <xdr:row>70</xdr:row>
      <xdr:rowOff>685440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4178160" y="66598920"/>
          <a:ext cx="1904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1904760</xdr:colOff>
      <xdr:row>71</xdr:row>
      <xdr:rowOff>685440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4178160" y="67589280"/>
          <a:ext cx="1904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1904760</xdr:colOff>
      <xdr:row>72</xdr:row>
      <xdr:rowOff>514080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4178160" y="68580000"/>
          <a:ext cx="190476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1904760</xdr:colOff>
      <xdr:row>73</xdr:row>
      <xdr:rowOff>514080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4178160" y="69570720"/>
          <a:ext cx="190476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1904760</xdr:colOff>
      <xdr:row>74</xdr:row>
      <xdr:rowOff>514080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4178160" y="70561080"/>
          <a:ext cx="190476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1904760</xdr:colOff>
      <xdr:row>75</xdr:row>
      <xdr:rowOff>514080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4178160" y="71551800"/>
          <a:ext cx="190476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1428480</xdr:colOff>
      <xdr:row>77</xdr:row>
      <xdr:rowOff>914040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4178160" y="72790200"/>
          <a:ext cx="14284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1904760</xdr:colOff>
      <xdr:row>78</xdr:row>
      <xdr:rowOff>875880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4178160" y="73780560"/>
          <a:ext cx="1904760" cy="87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1199880</xdr:colOff>
      <xdr:row>80</xdr:row>
      <xdr:rowOff>914040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4178160" y="75762000"/>
          <a:ext cx="11998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1199880</xdr:colOff>
      <xdr:row>81</xdr:row>
      <xdr:rowOff>914040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4178160" y="76752360"/>
          <a:ext cx="11998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1199880</xdr:colOff>
      <xdr:row>82</xdr:row>
      <xdr:rowOff>914040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4178160" y="77743080"/>
          <a:ext cx="11998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1275840</xdr:colOff>
      <xdr:row>83</xdr:row>
      <xdr:rowOff>914040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4178160" y="78733800"/>
          <a:ext cx="12758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1275840</xdr:colOff>
      <xdr:row>84</xdr:row>
      <xdr:rowOff>914040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4178160" y="79724160"/>
          <a:ext cx="12758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1904760</xdr:colOff>
      <xdr:row>85</xdr:row>
      <xdr:rowOff>894960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4178160" y="80714880"/>
          <a:ext cx="1904760" cy="89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1904760</xdr:colOff>
      <xdr:row>86</xdr:row>
      <xdr:rowOff>837720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4178160" y="81705600"/>
          <a:ext cx="190476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4</xdr:col>
      <xdr:colOff>1904760</xdr:colOff>
      <xdr:row>87</xdr:row>
      <xdr:rowOff>837720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4178160" y="82695960"/>
          <a:ext cx="190476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1904760</xdr:colOff>
      <xdr:row>88</xdr:row>
      <xdr:rowOff>371160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4178160" y="83686680"/>
          <a:ext cx="190476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1904760</xdr:colOff>
      <xdr:row>89</xdr:row>
      <xdr:rowOff>371160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4178160" y="84677400"/>
          <a:ext cx="190476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4</xdr:col>
      <xdr:colOff>1904760</xdr:colOff>
      <xdr:row>90</xdr:row>
      <xdr:rowOff>380520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4178160" y="85667760"/>
          <a:ext cx="190476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1904760</xdr:colOff>
      <xdr:row>91</xdr:row>
      <xdr:rowOff>380520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4178160" y="86658480"/>
          <a:ext cx="190476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1904760</xdr:colOff>
      <xdr:row>92</xdr:row>
      <xdr:rowOff>552240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4178160" y="87649200"/>
          <a:ext cx="190476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1904760</xdr:colOff>
      <xdr:row>93</xdr:row>
      <xdr:rowOff>180720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4178160" y="88639560"/>
          <a:ext cx="1904760" cy="18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4</xdr:col>
      <xdr:colOff>1904760</xdr:colOff>
      <xdr:row>94</xdr:row>
      <xdr:rowOff>418680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4178160" y="89630280"/>
          <a:ext cx="190476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1904760</xdr:colOff>
      <xdr:row>95</xdr:row>
      <xdr:rowOff>180720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4178160" y="90621000"/>
          <a:ext cx="1904760" cy="18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1904760</xdr:colOff>
      <xdr:row>96</xdr:row>
      <xdr:rowOff>294840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4178160" y="91611360"/>
          <a:ext cx="1904760" cy="29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4</xdr:col>
      <xdr:colOff>1904760</xdr:colOff>
      <xdr:row>97</xdr:row>
      <xdr:rowOff>294840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4178160" y="92602080"/>
          <a:ext cx="1904760" cy="29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1209240</xdr:colOff>
      <xdr:row>98</xdr:row>
      <xdr:rowOff>914040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4178160" y="93592800"/>
          <a:ext cx="12092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4</xdr:col>
      <xdr:colOff>1085400</xdr:colOff>
      <xdr:row>99</xdr:row>
      <xdr:rowOff>914040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4178160" y="94583160"/>
          <a:ext cx="10854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4</xdr:col>
      <xdr:colOff>856800</xdr:colOff>
      <xdr:row>100</xdr:row>
      <xdr:rowOff>247320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4178160" y="95573880"/>
          <a:ext cx="85680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4</xdr:col>
      <xdr:colOff>1714320</xdr:colOff>
      <xdr:row>101</xdr:row>
      <xdr:rowOff>247320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4178160" y="96564600"/>
          <a:ext cx="17143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4</xdr:col>
      <xdr:colOff>914040</xdr:colOff>
      <xdr:row>102</xdr:row>
      <xdr:rowOff>914040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4178160" y="9755496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1904760</xdr:colOff>
      <xdr:row>103</xdr:row>
      <xdr:rowOff>209160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4178160" y="98545680"/>
          <a:ext cx="1904760" cy="20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1904760</xdr:colOff>
      <xdr:row>104</xdr:row>
      <xdr:rowOff>171000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4178160" y="99536400"/>
          <a:ext cx="1904760" cy="17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4</xdr:col>
      <xdr:colOff>1904760</xdr:colOff>
      <xdr:row>106</xdr:row>
      <xdr:rowOff>104400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4178160" y="100774440"/>
          <a:ext cx="1904760" cy="10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1618920</xdr:colOff>
      <xdr:row>107</xdr:row>
      <xdr:rowOff>418680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4178160" y="101765160"/>
          <a:ext cx="16189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4</xdr:col>
      <xdr:colOff>1618920</xdr:colOff>
      <xdr:row>108</xdr:row>
      <xdr:rowOff>418680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4178160" y="102755880"/>
          <a:ext cx="161892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4</xdr:col>
      <xdr:colOff>1904760</xdr:colOff>
      <xdr:row>109</xdr:row>
      <xdr:rowOff>180720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4178160" y="103746240"/>
          <a:ext cx="1904760" cy="18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110</xdr:row>
      <xdr:rowOff>0</xdr:rowOff>
    </xdr:from>
    <xdr:to>
      <xdr:col>4</xdr:col>
      <xdr:colOff>1904760</xdr:colOff>
      <xdr:row>110</xdr:row>
      <xdr:rowOff>180720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4178160" y="104736960"/>
          <a:ext cx="1904760" cy="18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1904760</xdr:colOff>
      <xdr:row>111</xdr:row>
      <xdr:rowOff>180720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4178160" y="105727680"/>
          <a:ext cx="1904760" cy="18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1904760</xdr:colOff>
      <xdr:row>112</xdr:row>
      <xdr:rowOff>713880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4178160" y="106718040"/>
          <a:ext cx="1904760" cy="71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4</xdr:col>
      <xdr:colOff>1904760</xdr:colOff>
      <xdr:row>113</xdr:row>
      <xdr:rowOff>637920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4178160" y="107708760"/>
          <a:ext cx="1904760" cy="6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1904760</xdr:colOff>
      <xdr:row>114</xdr:row>
      <xdr:rowOff>637920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4178160" y="108699480"/>
          <a:ext cx="1904760" cy="6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4</xdr:col>
      <xdr:colOff>1904760</xdr:colOff>
      <xdr:row>115</xdr:row>
      <xdr:rowOff>342720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4178160" y="109689840"/>
          <a:ext cx="1904760" cy="34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1904760</xdr:colOff>
      <xdr:row>116</xdr:row>
      <xdr:rowOff>456840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4178160" y="110680560"/>
          <a:ext cx="190476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1904760</xdr:colOff>
      <xdr:row>117</xdr:row>
      <xdr:rowOff>161640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4178160" y="111671280"/>
          <a:ext cx="1904760" cy="16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4</xdr:col>
      <xdr:colOff>1904760</xdr:colOff>
      <xdr:row>118</xdr:row>
      <xdr:rowOff>190080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4178160" y="112661640"/>
          <a:ext cx="1904760" cy="19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1904760</xdr:colOff>
      <xdr:row>119</xdr:row>
      <xdr:rowOff>190080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4178160" y="113652360"/>
          <a:ext cx="1904760" cy="19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4</xdr:col>
      <xdr:colOff>1904760</xdr:colOff>
      <xdr:row>120</xdr:row>
      <xdr:rowOff>190080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4178160" y="114643080"/>
          <a:ext cx="1904760" cy="19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4</xdr:col>
      <xdr:colOff>1047240</xdr:colOff>
      <xdr:row>121</xdr:row>
      <xdr:rowOff>437760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4178160" y="115633440"/>
          <a:ext cx="1047240" cy="43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4</xdr:col>
      <xdr:colOff>1047240</xdr:colOff>
      <xdr:row>122</xdr:row>
      <xdr:rowOff>437760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4178160" y="116624160"/>
          <a:ext cx="1047240" cy="43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4</xdr:col>
      <xdr:colOff>1904760</xdr:colOff>
      <xdr:row>123</xdr:row>
      <xdr:rowOff>132840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4178160" y="117614880"/>
          <a:ext cx="1904760" cy="13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1904760</xdr:colOff>
      <xdr:row>125</xdr:row>
      <xdr:rowOff>780840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4178160" y="118852920"/>
          <a:ext cx="1904760" cy="78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4</xdr:col>
      <xdr:colOff>1628280</xdr:colOff>
      <xdr:row>127</xdr:row>
      <xdr:rowOff>914040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4178160" y="120834000"/>
          <a:ext cx="16282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4</xdr:col>
      <xdr:colOff>1628280</xdr:colOff>
      <xdr:row>128</xdr:row>
      <xdr:rowOff>914040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4178160" y="121824720"/>
          <a:ext cx="16282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4</xdr:col>
      <xdr:colOff>1628280</xdr:colOff>
      <xdr:row>129</xdr:row>
      <xdr:rowOff>914040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4178160" y="122815440"/>
          <a:ext cx="16282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1904760</xdr:colOff>
      <xdr:row>131</xdr:row>
      <xdr:rowOff>275760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4178160" y="124796520"/>
          <a:ext cx="1904760" cy="27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4</xdr:col>
      <xdr:colOff>1904760</xdr:colOff>
      <xdr:row>132</xdr:row>
      <xdr:rowOff>171000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4178160" y="125787240"/>
          <a:ext cx="1904760" cy="17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10"/>
  </cols>
  <sheetData>
    <row r="2" customFormat="false" ht="17.15" hidden="false" customHeight="false" outlineLevel="0" collapsed="false">
      <c r="B2" s="1" t="s">
        <v>0</v>
      </c>
    </row>
    <row r="4" customFormat="false" ht="22.5" hidden="false" customHeight="true" outlineLevel="0" collapsed="false">
      <c r="B4" s="2" t="s">
        <v>1</v>
      </c>
      <c r="C4" s="3" t="s">
        <v>2</v>
      </c>
    </row>
    <row r="5" customFormat="false" ht="37.5" hidden="false" customHeight="true" outlineLevel="0" collapsed="false">
      <c r="B5" s="2" t="s">
        <v>3</v>
      </c>
      <c r="C5" s="4" t="s">
        <v>4</v>
      </c>
    </row>
    <row r="6" customFormat="false" ht="37.5" hidden="false" customHeight="true" outlineLevel="0" collapsed="false">
      <c r="B6" s="2" t="s">
        <v>5</v>
      </c>
      <c r="C6" s="3" t="s">
        <v>6</v>
      </c>
    </row>
    <row r="7" customFormat="false" ht="37.5" hidden="false" customHeight="true" outlineLevel="0" collapsed="false">
      <c r="B7" s="2" t="s">
        <v>7</v>
      </c>
      <c r="C7" s="3" t="s">
        <v>8</v>
      </c>
    </row>
    <row r="8" customFormat="false" ht="22.5" hidden="false" customHeight="true" outlineLevel="0" collapsed="false">
      <c r="B8" s="2" t="s">
        <v>9</v>
      </c>
      <c r="C8" s="3" t="s">
        <v>10</v>
      </c>
    </row>
    <row r="9" customFormat="false" ht="22.5" hidden="false" customHeight="true" outlineLevel="0" collapsed="false">
      <c r="B9" s="2" t="s">
        <v>11</v>
      </c>
      <c r="C9" s="3" t="s">
        <v>12</v>
      </c>
    </row>
    <row r="10" customFormat="false" ht="37.5" hidden="false" customHeight="true" outlineLevel="0" collapsed="false">
      <c r="B10" s="2" t="s">
        <v>13</v>
      </c>
      <c r="C10" s="3" t="s">
        <v>14</v>
      </c>
    </row>
    <row r="11" customFormat="false" ht="37.5" hidden="false" customHeight="true" outlineLevel="0" collapsed="false">
      <c r="B11" s="2" t="s">
        <v>15</v>
      </c>
      <c r="C11" s="3" t="s">
        <v>16</v>
      </c>
    </row>
    <row r="12" customFormat="false" ht="37.5" hidden="false" customHeight="true" outlineLevel="0" collapsed="false">
      <c r="B12" s="2" t="s">
        <v>17</v>
      </c>
      <c r="C12" s="3" t="s">
        <v>18</v>
      </c>
    </row>
    <row r="13" customFormat="false" ht="37.5" hidden="false" customHeight="true" outlineLevel="0" collapsed="false">
      <c r="B13" s="2" t="s">
        <v>19</v>
      </c>
      <c r="C13" s="3" t="s">
        <v>20</v>
      </c>
    </row>
    <row r="14" customFormat="false" ht="37.5" hidden="false" customHeight="true" outlineLevel="0" collapsed="false">
      <c r="B14" s="2" t="s">
        <v>21</v>
      </c>
      <c r="C14" s="3" t="s">
        <v>22</v>
      </c>
    </row>
    <row r="15" customFormat="false" ht="37.5" hidden="false" customHeight="true" outlineLevel="0" collapsed="false">
      <c r="B15" s="2" t="s">
        <v>23</v>
      </c>
      <c r="C15" s="3" t="s">
        <v>24</v>
      </c>
    </row>
    <row r="16" customFormat="false" ht="22.5" hidden="false" customHeight="true" outlineLevel="0" collapsed="false">
      <c r="B16" s="2" t="s">
        <v>25</v>
      </c>
      <c r="C16" s="3" t="s">
        <v>26</v>
      </c>
    </row>
    <row r="17" customFormat="false" ht="67.5" hidden="false" customHeight="true" outlineLevel="0" collapsed="false">
      <c r="B17" s="2" t="s">
        <v>27</v>
      </c>
      <c r="C17" s="3" t="s">
        <v>28</v>
      </c>
    </row>
    <row r="18" customFormat="false" ht="22.5" hidden="false" customHeight="true" outlineLevel="0" collapsed="false">
      <c r="B18" s="2" t="s">
        <v>29</v>
      </c>
      <c r="C18" s="3" t="s">
        <v>30</v>
      </c>
    </row>
    <row r="20" customFormat="false" ht="15" hidden="false" customHeight="false" outlineLevel="0" collapsed="false">
      <c r="B20" s="5" t="s">
        <v>31</v>
      </c>
    </row>
    <row r="21" customFormat="false" ht="15" hidden="false" customHeight="false" outlineLevel="0" collapsed="false">
      <c r="B21" s="6" t="s">
        <v>32</v>
      </c>
      <c r="C21" s="7" t="n">
        <f aca="false">COUNTIF('UI Art'!$D:$D,"Bt_*")</f>
        <v>14</v>
      </c>
    </row>
    <row r="22" customFormat="false" ht="15" hidden="false" customHeight="false" outlineLevel="0" collapsed="false">
      <c r="B22" s="6" t="s">
        <v>33</v>
      </c>
      <c r="C22" s="7" t="n">
        <f aca="false">COUNTIF('UI Art'!$D:$D,"Ic_*")</f>
        <v>58</v>
      </c>
    </row>
    <row r="23" customFormat="false" ht="15" hidden="false" customHeight="false" outlineLevel="0" collapsed="false">
      <c r="B23" s="6" t="s">
        <v>34</v>
      </c>
      <c r="C23" s="7" t="n">
        <f aca="false">COUNTIF('UI Art'!$D:$D,"Bf_*")</f>
        <v>28</v>
      </c>
    </row>
    <row r="24" customFormat="false" ht="15" hidden="false" customHeight="false" outlineLevel="0" collapsed="false">
      <c r="B24" s="6" t="s">
        <v>35</v>
      </c>
      <c r="C24" s="7" t="n">
        <f aca="false">COUNTIF('UI Art'!$D:$D,"Tb_*")</f>
        <v>18</v>
      </c>
    </row>
    <row r="25" customFormat="false" ht="15" hidden="false" customHeight="false" outlineLevel="0" collapsed="false">
      <c r="B25" s="6" t="s">
        <v>36</v>
      </c>
      <c r="C25" s="7" t="n">
        <f aca="false">COUNTIF('UI Art'!$D:$D,"Ot_*")</f>
        <v>8</v>
      </c>
    </row>
    <row r="26" customFormat="false" ht="15" hidden="false" customHeight="false" outlineLevel="0" collapsed="false">
      <c r="B26" s="8" t="s">
        <v>37</v>
      </c>
      <c r="C26" s="9" t="n">
        <f aca="false">SUM(C21:C25)</f>
        <v>126</v>
      </c>
    </row>
    <row r="27" customFormat="false" ht="15" hidden="false" customHeight="false" outlineLevel="0" collapsed="false">
      <c r="B27" s="6" t="s">
        <v>38</v>
      </c>
      <c r="C27" s="7" t="n">
        <f aca="false">COUNTIF('UI Art'!$J:$J,"Done")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2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40"/>
    <col collapsed="false" customWidth="true" hidden="false" outlineLevel="0" max="16" min="16" style="0" width="30"/>
    <col collapsed="false" customWidth="true" hidden="false" outlineLevel="0" max="17" min="17" style="0" width="9"/>
    <col collapsed="false" customWidth="true" hidden="false" outlineLevel="0" max="18" min="18" style="0" width="55"/>
  </cols>
  <sheetData>
    <row r="1" customFormat="false" ht="31.5" hidden="false" customHeight="true" outlineLevel="0" collapsed="false">
      <c r="A1" s="10"/>
      <c r="B1" s="10"/>
      <c r="C1" s="10"/>
      <c r="D1" s="11" t="s">
        <v>39</v>
      </c>
      <c r="E1" s="11" t="s">
        <v>7</v>
      </c>
      <c r="F1" s="11" t="s">
        <v>40</v>
      </c>
      <c r="G1" s="11" t="s">
        <v>41</v>
      </c>
      <c r="H1" s="11" t="s">
        <v>11</v>
      </c>
      <c r="I1" s="11" t="s">
        <v>42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O1" s="11" t="s">
        <v>48</v>
      </c>
      <c r="P1" s="11" t="s">
        <v>49</v>
      </c>
      <c r="Q1" s="11" t="s">
        <v>25</v>
      </c>
      <c r="R1" s="11" t="s">
        <v>50</v>
      </c>
    </row>
    <row r="2" customFormat="false" ht="25.5" hidden="false" customHeight="true" outlineLevel="0" collapsed="false">
      <c r="B2" s="12" t="s">
        <v>51</v>
      </c>
      <c r="D2" s="13" t="s">
        <v>52</v>
      </c>
      <c r="E2" s="13" t="s">
        <v>53</v>
      </c>
      <c r="F2" s="13" t="s">
        <v>54</v>
      </c>
      <c r="G2" s="13" t="s">
        <v>55</v>
      </c>
      <c r="H2" s="13" t="s">
        <v>56</v>
      </c>
      <c r="I2" s="13" t="s">
        <v>57</v>
      </c>
      <c r="J2" s="13" t="s">
        <v>58</v>
      </c>
      <c r="K2" s="13" t="s">
        <v>59</v>
      </c>
      <c r="L2" s="13" t="s">
        <v>60</v>
      </c>
      <c r="M2" s="13" t="s">
        <v>61</v>
      </c>
      <c r="N2" s="13" t="s">
        <v>62</v>
      </c>
      <c r="O2" s="13" t="s">
        <v>63</v>
      </c>
      <c r="P2" s="13" t="s">
        <v>64</v>
      </c>
      <c r="Q2" s="13" t="s">
        <v>65</v>
      </c>
      <c r="R2" s="13" t="s">
        <v>66</v>
      </c>
    </row>
    <row r="3" customFormat="false" ht="19.5" hidden="false" customHeight="true" outlineLevel="0" collapsed="false">
      <c r="D3" s="14" t="s">
        <v>67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customFormat="false" ht="78" hidden="false" customHeight="true" outlineLevel="0" collapsed="false">
      <c r="B4" s="16" t="s">
        <v>68</v>
      </c>
      <c r="D4" s="17" t="s">
        <v>69</v>
      </c>
      <c r="E4" s="18"/>
      <c r="F4" s="17" t="s">
        <v>70</v>
      </c>
      <c r="G4" s="19" t="s">
        <v>71</v>
      </c>
      <c r="H4" s="19" t="n">
        <v>300</v>
      </c>
      <c r="I4" s="19" t="s">
        <v>72</v>
      </c>
      <c r="J4" s="20" t="s">
        <v>73</v>
      </c>
      <c r="K4" s="20"/>
      <c r="L4" s="19" t="s">
        <v>74</v>
      </c>
      <c r="M4" s="21"/>
      <c r="N4" s="19" t="s">
        <v>75</v>
      </c>
      <c r="O4" s="17" t="s">
        <v>76</v>
      </c>
      <c r="P4" s="17" t="s">
        <v>77</v>
      </c>
      <c r="Q4" s="19" t="s">
        <v>78</v>
      </c>
      <c r="R4" s="17" t="s">
        <v>79</v>
      </c>
    </row>
    <row r="5" customFormat="false" ht="78" hidden="false" customHeight="true" outlineLevel="0" collapsed="false">
      <c r="B5" s="16" t="s">
        <v>80</v>
      </c>
      <c r="D5" s="17" t="s">
        <v>81</v>
      </c>
      <c r="E5" s="18"/>
      <c r="F5" s="17" t="s">
        <v>82</v>
      </c>
      <c r="G5" s="19" t="s">
        <v>71</v>
      </c>
      <c r="H5" s="19" t="n">
        <v>300</v>
      </c>
      <c r="I5" s="19" t="s">
        <v>72</v>
      </c>
      <c r="J5" s="20" t="s">
        <v>73</v>
      </c>
      <c r="K5" s="20"/>
      <c r="L5" s="19" t="s">
        <v>74</v>
      </c>
      <c r="M5" s="21"/>
      <c r="N5" s="19" t="s">
        <v>83</v>
      </c>
      <c r="O5" s="17" t="s">
        <v>84</v>
      </c>
      <c r="P5" s="17" t="s">
        <v>85</v>
      </c>
      <c r="Q5" s="19" t="s">
        <v>78</v>
      </c>
      <c r="R5" s="17" t="s">
        <v>86</v>
      </c>
    </row>
    <row r="6" customFormat="false" ht="78" hidden="false" customHeight="true" outlineLevel="0" collapsed="false">
      <c r="B6" s="16" t="s">
        <v>87</v>
      </c>
      <c r="D6" s="17" t="s">
        <v>88</v>
      </c>
      <c r="E6" s="18"/>
      <c r="F6" s="17" t="s">
        <v>89</v>
      </c>
      <c r="G6" s="19" t="s">
        <v>90</v>
      </c>
      <c r="H6" s="19" t="n">
        <v>300</v>
      </c>
      <c r="I6" s="19" t="s">
        <v>72</v>
      </c>
      <c r="J6" s="20" t="s">
        <v>73</v>
      </c>
      <c r="K6" s="20"/>
      <c r="L6" s="19" t="s">
        <v>74</v>
      </c>
      <c r="M6" s="21"/>
      <c r="N6" s="19" t="s">
        <v>91</v>
      </c>
      <c r="O6" s="17" t="s">
        <v>92</v>
      </c>
      <c r="P6" s="17" t="s">
        <v>93</v>
      </c>
      <c r="Q6" s="19" t="s">
        <v>78</v>
      </c>
      <c r="R6" s="17" t="s">
        <v>94</v>
      </c>
    </row>
    <row r="7" customFormat="false" ht="78" hidden="false" customHeight="true" outlineLevel="0" collapsed="false">
      <c r="B7" s="16" t="s">
        <v>95</v>
      </c>
      <c r="D7" s="17" t="s">
        <v>96</v>
      </c>
      <c r="E7" s="18"/>
      <c r="F7" s="17" t="s">
        <v>97</v>
      </c>
      <c r="G7" s="19" t="s">
        <v>90</v>
      </c>
      <c r="H7" s="19" t="n">
        <v>300</v>
      </c>
      <c r="I7" s="19" t="s">
        <v>72</v>
      </c>
      <c r="J7" s="20" t="s">
        <v>73</v>
      </c>
      <c r="K7" s="20"/>
      <c r="L7" s="19" t="s">
        <v>74</v>
      </c>
      <c r="M7" s="21"/>
      <c r="N7" s="19" t="s">
        <v>98</v>
      </c>
      <c r="O7" s="17" t="s">
        <v>99</v>
      </c>
      <c r="P7" s="17" t="s">
        <v>100</v>
      </c>
      <c r="Q7" s="19" t="s">
        <v>78</v>
      </c>
      <c r="R7" s="17" t="s">
        <v>101</v>
      </c>
    </row>
    <row r="8" customFormat="false" ht="78" hidden="false" customHeight="true" outlineLevel="0" collapsed="false">
      <c r="B8" s="16" t="s">
        <v>102</v>
      </c>
      <c r="D8" s="17" t="s">
        <v>103</v>
      </c>
      <c r="E8" s="18"/>
      <c r="F8" s="17" t="s">
        <v>104</v>
      </c>
      <c r="G8" s="19" t="s">
        <v>105</v>
      </c>
      <c r="H8" s="19" t="n">
        <v>300</v>
      </c>
      <c r="I8" s="19" t="s">
        <v>72</v>
      </c>
      <c r="J8" s="20" t="s">
        <v>73</v>
      </c>
      <c r="K8" s="20"/>
      <c r="L8" s="19" t="s">
        <v>74</v>
      </c>
      <c r="M8" s="21"/>
      <c r="N8" s="19" t="s">
        <v>106</v>
      </c>
      <c r="O8" s="17" t="s">
        <v>107</v>
      </c>
      <c r="P8" s="17" t="s">
        <v>108</v>
      </c>
      <c r="Q8" s="19" t="s">
        <v>78</v>
      </c>
      <c r="R8" s="17" t="s">
        <v>109</v>
      </c>
    </row>
    <row r="9" customFormat="false" ht="78" hidden="false" customHeight="true" outlineLevel="0" collapsed="false">
      <c r="D9" s="17" t="s">
        <v>110</v>
      </c>
      <c r="E9" s="18"/>
      <c r="F9" s="17" t="s">
        <v>111</v>
      </c>
      <c r="G9" s="19" t="s">
        <v>105</v>
      </c>
      <c r="H9" s="19" t="n">
        <v>300</v>
      </c>
      <c r="I9" s="19" t="s">
        <v>72</v>
      </c>
      <c r="J9" s="20" t="s">
        <v>73</v>
      </c>
      <c r="K9" s="20"/>
      <c r="L9" s="19" t="s">
        <v>74</v>
      </c>
      <c r="M9" s="21"/>
      <c r="N9" s="19" t="s">
        <v>112</v>
      </c>
      <c r="O9" s="17" t="s">
        <v>113</v>
      </c>
      <c r="P9" s="17" t="s">
        <v>114</v>
      </c>
      <c r="Q9" s="19" t="s">
        <v>115</v>
      </c>
      <c r="R9" s="17" t="s">
        <v>116</v>
      </c>
    </row>
    <row r="10" customFormat="false" ht="78" hidden="false" customHeight="true" outlineLevel="0" collapsed="false">
      <c r="D10" s="17" t="s">
        <v>117</v>
      </c>
      <c r="E10" s="18"/>
      <c r="F10" s="17" t="s">
        <v>118</v>
      </c>
      <c r="G10" s="19" t="s">
        <v>119</v>
      </c>
      <c r="H10" s="19" t="n">
        <v>300</v>
      </c>
      <c r="I10" s="19" t="s">
        <v>120</v>
      </c>
      <c r="J10" s="20" t="s">
        <v>73</v>
      </c>
      <c r="K10" s="20"/>
      <c r="L10" s="19" t="s">
        <v>74</v>
      </c>
      <c r="M10" s="21"/>
      <c r="N10" s="19" t="s">
        <v>121</v>
      </c>
      <c r="O10" s="17" t="s">
        <v>122</v>
      </c>
      <c r="P10" s="17" t="s">
        <v>123</v>
      </c>
      <c r="Q10" s="19" t="s">
        <v>115</v>
      </c>
      <c r="R10" s="17" t="s">
        <v>124</v>
      </c>
    </row>
    <row r="11" customFormat="false" ht="78" hidden="false" customHeight="true" outlineLevel="0" collapsed="false">
      <c r="D11" s="17" t="s">
        <v>125</v>
      </c>
      <c r="E11" s="18"/>
      <c r="F11" s="17" t="s">
        <v>126</v>
      </c>
      <c r="G11" s="19" t="s">
        <v>119</v>
      </c>
      <c r="H11" s="19" t="n">
        <v>300</v>
      </c>
      <c r="I11" s="19" t="s">
        <v>120</v>
      </c>
      <c r="J11" s="20" t="s">
        <v>73</v>
      </c>
      <c r="K11" s="20"/>
      <c r="L11" s="19" t="s">
        <v>74</v>
      </c>
      <c r="M11" s="21"/>
      <c r="N11" s="19" t="s">
        <v>127</v>
      </c>
      <c r="O11" s="17" t="s">
        <v>128</v>
      </c>
      <c r="P11" s="17" t="s">
        <v>129</v>
      </c>
      <c r="Q11" s="19" t="s">
        <v>115</v>
      </c>
      <c r="R11" s="17" t="s">
        <v>130</v>
      </c>
    </row>
    <row r="12" customFormat="false" ht="78" hidden="false" customHeight="true" outlineLevel="0" collapsed="false">
      <c r="D12" s="17" t="s">
        <v>131</v>
      </c>
      <c r="E12" s="18"/>
      <c r="F12" s="17" t="s">
        <v>132</v>
      </c>
      <c r="G12" s="19" t="s">
        <v>133</v>
      </c>
      <c r="H12" s="19" t="n">
        <v>300</v>
      </c>
      <c r="I12" s="19" t="s">
        <v>120</v>
      </c>
      <c r="J12" s="20" t="s">
        <v>73</v>
      </c>
      <c r="K12" s="20"/>
      <c r="L12" s="19" t="s">
        <v>74</v>
      </c>
      <c r="M12" s="21"/>
      <c r="N12" s="19" t="s">
        <v>134</v>
      </c>
      <c r="O12" s="17" t="s">
        <v>135</v>
      </c>
      <c r="P12" s="17" t="s">
        <v>136</v>
      </c>
      <c r="Q12" s="19" t="s">
        <v>115</v>
      </c>
      <c r="R12" s="17" t="s">
        <v>137</v>
      </c>
    </row>
    <row r="13" customFormat="false" ht="78" hidden="false" customHeight="true" outlineLevel="0" collapsed="false">
      <c r="D13" s="17" t="s">
        <v>138</v>
      </c>
      <c r="E13" s="18"/>
      <c r="F13" s="17" t="s">
        <v>139</v>
      </c>
      <c r="G13" s="19" t="s">
        <v>133</v>
      </c>
      <c r="H13" s="19" t="n">
        <v>300</v>
      </c>
      <c r="I13" s="19" t="s">
        <v>120</v>
      </c>
      <c r="J13" s="20" t="s">
        <v>73</v>
      </c>
      <c r="K13" s="20"/>
      <c r="L13" s="19" t="s">
        <v>74</v>
      </c>
      <c r="M13" s="21"/>
      <c r="N13" s="19" t="s">
        <v>134</v>
      </c>
      <c r="O13" s="17" t="s">
        <v>140</v>
      </c>
      <c r="P13" s="17" t="s">
        <v>141</v>
      </c>
      <c r="Q13" s="19" t="s">
        <v>115</v>
      </c>
      <c r="R13" s="17" t="s">
        <v>142</v>
      </c>
    </row>
    <row r="14" customFormat="false" ht="78" hidden="false" customHeight="true" outlineLevel="0" collapsed="false">
      <c r="D14" s="17" t="s">
        <v>143</v>
      </c>
      <c r="E14" s="18"/>
      <c r="F14" s="17" t="s">
        <v>144</v>
      </c>
      <c r="G14" s="19" t="s">
        <v>145</v>
      </c>
      <c r="H14" s="19" t="n">
        <v>300</v>
      </c>
      <c r="I14" s="19" t="s">
        <v>72</v>
      </c>
      <c r="J14" s="20" t="s">
        <v>73</v>
      </c>
      <c r="K14" s="20"/>
      <c r="L14" s="19" t="s">
        <v>74</v>
      </c>
      <c r="M14" s="21"/>
      <c r="N14" s="19" t="s">
        <v>146</v>
      </c>
      <c r="O14" s="17" t="s">
        <v>147</v>
      </c>
      <c r="P14" s="17" t="s">
        <v>148</v>
      </c>
      <c r="Q14" s="19" t="s">
        <v>115</v>
      </c>
      <c r="R14" s="17" t="s">
        <v>149</v>
      </c>
    </row>
    <row r="15" customFormat="false" ht="78" hidden="false" customHeight="true" outlineLevel="0" collapsed="false">
      <c r="D15" s="17" t="s">
        <v>150</v>
      </c>
      <c r="E15" s="18"/>
      <c r="F15" s="17" t="s">
        <v>151</v>
      </c>
      <c r="G15" s="19" t="s">
        <v>145</v>
      </c>
      <c r="H15" s="19" t="n">
        <v>300</v>
      </c>
      <c r="I15" s="19" t="s">
        <v>72</v>
      </c>
      <c r="J15" s="20" t="s">
        <v>73</v>
      </c>
      <c r="K15" s="20"/>
      <c r="L15" s="19" t="s">
        <v>74</v>
      </c>
      <c r="M15" s="21"/>
      <c r="N15" s="19" t="s">
        <v>146</v>
      </c>
      <c r="O15" s="17" t="s">
        <v>152</v>
      </c>
      <c r="P15" s="17" t="s">
        <v>153</v>
      </c>
      <c r="Q15" s="19" t="s">
        <v>115</v>
      </c>
      <c r="R15" s="17" t="s">
        <v>130</v>
      </c>
    </row>
    <row r="16" customFormat="false" ht="78" hidden="false" customHeight="true" outlineLevel="0" collapsed="false">
      <c r="D16" s="17" t="s">
        <v>154</v>
      </c>
      <c r="E16" s="18"/>
      <c r="F16" s="17" t="s">
        <v>155</v>
      </c>
      <c r="G16" s="19" t="s">
        <v>156</v>
      </c>
      <c r="H16" s="19" t="n">
        <v>300</v>
      </c>
      <c r="I16" s="19" t="s">
        <v>120</v>
      </c>
      <c r="J16" s="20" t="s">
        <v>73</v>
      </c>
      <c r="K16" s="20"/>
      <c r="L16" s="19" t="s">
        <v>74</v>
      </c>
      <c r="M16" s="21"/>
      <c r="N16" s="19" t="s">
        <v>157</v>
      </c>
      <c r="O16" s="17" t="s">
        <v>158</v>
      </c>
      <c r="P16" s="17" t="s">
        <v>159</v>
      </c>
      <c r="Q16" s="19" t="s">
        <v>115</v>
      </c>
      <c r="R16" s="17" t="s">
        <v>160</v>
      </c>
    </row>
    <row r="17" customFormat="false" ht="78" hidden="false" customHeight="true" outlineLevel="0" collapsed="false">
      <c r="D17" s="17" t="s">
        <v>161</v>
      </c>
      <c r="E17" s="18"/>
      <c r="F17" s="17" t="s">
        <v>162</v>
      </c>
      <c r="G17" s="19" t="s">
        <v>163</v>
      </c>
      <c r="H17" s="19" t="n">
        <v>300</v>
      </c>
      <c r="I17" s="19" t="s">
        <v>120</v>
      </c>
      <c r="J17" s="20" t="s">
        <v>73</v>
      </c>
      <c r="K17" s="20"/>
      <c r="L17" s="19" t="s">
        <v>74</v>
      </c>
      <c r="M17" s="21"/>
      <c r="N17" s="19" t="s">
        <v>164</v>
      </c>
      <c r="O17" s="17" t="s">
        <v>165</v>
      </c>
      <c r="P17" s="17" t="s">
        <v>166</v>
      </c>
      <c r="Q17" s="19" t="s">
        <v>115</v>
      </c>
      <c r="R17" s="17" t="s">
        <v>167</v>
      </c>
    </row>
    <row r="18" customFormat="false" ht="19.5" hidden="false" customHeight="true" outlineLevel="0" collapsed="false">
      <c r="D18" s="14" t="s">
        <v>168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customFormat="false" ht="78" hidden="false" customHeight="true" outlineLevel="0" collapsed="false">
      <c r="D19" s="17" t="s">
        <v>169</v>
      </c>
      <c r="E19" s="18"/>
      <c r="F19" s="17" t="s">
        <v>170</v>
      </c>
      <c r="G19" s="19" t="s">
        <v>171</v>
      </c>
      <c r="H19" s="19" t="n">
        <v>300</v>
      </c>
      <c r="I19" s="19" t="s">
        <v>172</v>
      </c>
      <c r="J19" s="20" t="s">
        <v>73</v>
      </c>
      <c r="K19" s="20"/>
      <c r="L19" s="19" t="s">
        <v>74</v>
      </c>
      <c r="M19" s="21"/>
      <c r="N19" s="19" t="s">
        <v>173</v>
      </c>
      <c r="O19" s="17" t="s">
        <v>174</v>
      </c>
      <c r="P19" s="17" t="s">
        <v>175</v>
      </c>
      <c r="Q19" s="19" t="s">
        <v>115</v>
      </c>
      <c r="R19" s="17" t="s">
        <v>176</v>
      </c>
    </row>
    <row r="20" customFormat="false" ht="78" hidden="false" customHeight="true" outlineLevel="0" collapsed="false">
      <c r="D20" s="17" t="s">
        <v>177</v>
      </c>
      <c r="E20" s="18"/>
      <c r="F20" s="17" t="s">
        <v>178</v>
      </c>
      <c r="G20" s="19" t="s">
        <v>179</v>
      </c>
      <c r="H20" s="19" t="n">
        <v>300</v>
      </c>
      <c r="I20" s="19" t="s">
        <v>172</v>
      </c>
      <c r="J20" s="20" t="s">
        <v>73</v>
      </c>
      <c r="K20" s="20"/>
      <c r="L20" s="19" t="s">
        <v>74</v>
      </c>
      <c r="M20" s="21"/>
      <c r="N20" s="19" t="s">
        <v>180</v>
      </c>
      <c r="O20" s="17" t="s">
        <v>181</v>
      </c>
      <c r="P20" s="17" t="s">
        <v>182</v>
      </c>
      <c r="Q20" s="19" t="s">
        <v>115</v>
      </c>
      <c r="R20" s="17" t="s">
        <v>183</v>
      </c>
    </row>
    <row r="21" customFormat="false" ht="78" hidden="false" customHeight="true" outlineLevel="0" collapsed="false">
      <c r="D21" s="17" t="s">
        <v>184</v>
      </c>
      <c r="E21" s="18"/>
      <c r="F21" s="17" t="s">
        <v>185</v>
      </c>
      <c r="G21" s="19" t="s">
        <v>186</v>
      </c>
      <c r="H21" s="19" t="n">
        <v>300</v>
      </c>
      <c r="I21" s="19" t="s">
        <v>187</v>
      </c>
      <c r="J21" s="20" t="s">
        <v>73</v>
      </c>
      <c r="K21" s="20"/>
      <c r="L21" s="19" t="s">
        <v>74</v>
      </c>
      <c r="M21" s="21"/>
      <c r="N21" s="19" t="s">
        <v>188</v>
      </c>
      <c r="O21" s="17" t="s">
        <v>189</v>
      </c>
      <c r="P21" s="17" t="s">
        <v>190</v>
      </c>
      <c r="Q21" s="19" t="s">
        <v>115</v>
      </c>
      <c r="R21" s="17" t="s">
        <v>191</v>
      </c>
    </row>
    <row r="22" customFormat="false" ht="78" hidden="false" customHeight="true" outlineLevel="0" collapsed="false">
      <c r="D22" s="17" t="s">
        <v>192</v>
      </c>
      <c r="E22" s="18"/>
      <c r="F22" s="17" t="s">
        <v>193</v>
      </c>
      <c r="G22" s="19" t="s">
        <v>194</v>
      </c>
      <c r="H22" s="19" t="n">
        <v>300</v>
      </c>
      <c r="I22" s="19" t="s">
        <v>187</v>
      </c>
      <c r="J22" s="20" t="s">
        <v>73</v>
      </c>
      <c r="K22" s="20"/>
      <c r="L22" s="19" t="s">
        <v>74</v>
      </c>
      <c r="M22" s="21"/>
      <c r="N22" s="19" t="s">
        <v>195</v>
      </c>
      <c r="O22" s="17" t="s">
        <v>196</v>
      </c>
      <c r="P22" s="17" t="s">
        <v>197</v>
      </c>
      <c r="Q22" s="19" t="s">
        <v>115</v>
      </c>
      <c r="R22" s="17" t="s">
        <v>198</v>
      </c>
    </row>
    <row r="23" customFormat="false" ht="78" hidden="false" customHeight="true" outlineLevel="0" collapsed="false">
      <c r="D23" s="17" t="s">
        <v>199</v>
      </c>
      <c r="E23" s="18"/>
      <c r="F23" s="17" t="s">
        <v>200</v>
      </c>
      <c r="G23" s="19" t="s">
        <v>201</v>
      </c>
      <c r="H23" s="19" t="n">
        <v>300</v>
      </c>
      <c r="I23" s="19" t="s">
        <v>187</v>
      </c>
      <c r="J23" s="20" t="s">
        <v>73</v>
      </c>
      <c r="K23" s="20"/>
      <c r="L23" s="19" t="s">
        <v>74</v>
      </c>
      <c r="M23" s="21"/>
      <c r="N23" s="19" t="s">
        <v>202</v>
      </c>
      <c r="O23" s="17" t="s">
        <v>203</v>
      </c>
      <c r="P23" s="17" t="s">
        <v>204</v>
      </c>
      <c r="Q23" s="19" t="s">
        <v>115</v>
      </c>
      <c r="R23" s="17" t="s">
        <v>205</v>
      </c>
    </row>
    <row r="24" customFormat="false" ht="78" hidden="false" customHeight="true" outlineLevel="0" collapsed="false">
      <c r="D24" s="17" t="s">
        <v>206</v>
      </c>
      <c r="E24" s="18"/>
      <c r="F24" s="17" t="s">
        <v>207</v>
      </c>
      <c r="G24" s="19" t="s">
        <v>208</v>
      </c>
      <c r="H24" s="19" t="n">
        <v>300</v>
      </c>
      <c r="I24" s="19" t="s">
        <v>187</v>
      </c>
      <c r="J24" s="20" t="s">
        <v>73</v>
      </c>
      <c r="K24" s="20"/>
      <c r="L24" s="19" t="s">
        <v>74</v>
      </c>
      <c r="M24" s="21"/>
      <c r="N24" s="19" t="s">
        <v>209</v>
      </c>
      <c r="O24" s="17" t="s">
        <v>210</v>
      </c>
      <c r="P24" s="17" t="s">
        <v>211</v>
      </c>
      <c r="Q24" s="19" t="s">
        <v>115</v>
      </c>
      <c r="R24" s="17" t="s">
        <v>212</v>
      </c>
    </row>
    <row r="25" customFormat="false" ht="78" hidden="false" customHeight="true" outlineLevel="0" collapsed="false">
      <c r="D25" s="17" t="s">
        <v>213</v>
      </c>
      <c r="E25" s="18"/>
      <c r="F25" s="17" t="s">
        <v>214</v>
      </c>
      <c r="G25" s="19" t="s">
        <v>208</v>
      </c>
      <c r="H25" s="19" t="n">
        <v>300</v>
      </c>
      <c r="I25" s="19" t="s">
        <v>187</v>
      </c>
      <c r="J25" s="20" t="s">
        <v>73</v>
      </c>
      <c r="K25" s="20"/>
      <c r="L25" s="19" t="s">
        <v>74</v>
      </c>
      <c r="M25" s="21"/>
      <c r="N25" s="19" t="s">
        <v>209</v>
      </c>
      <c r="O25" s="17" t="s">
        <v>215</v>
      </c>
      <c r="P25" s="17" t="s">
        <v>216</v>
      </c>
      <c r="Q25" s="19" t="s">
        <v>115</v>
      </c>
      <c r="R25" s="17" t="s">
        <v>217</v>
      </c>
    </row>
    <row r="26" customFormat="false" ht="78" hidden="false" customHeight="true" outlineLevel="0" collapsed="false">
      <c r="D26" s="17" t="s">
        <v>218</v>
      </c>
      <c r="E26" s="18"/>
      <c r="F26" s="17" t="s">
        <v>219</v>
      </c>
      <c r="G26" s="19" t="s">
        <v>208</v>
      </c>
      <c r="H26" s="19" t="n">
        <v>300</v>
      </c>
      <c r="I26" s="19" t="s">
        <v>187</v>
      </c>
      <c r="J26" s="20" t="s">
        <v>73</v>
      </c>
      <c r="K26" s="20"/>
      <c r="L26" s="19" t="s">
        <v>74</v>
      </c>
      <c r="M26" s="21"/>
      <c r="N26" s="19" t="s">
        <v>209</v>
      </c>
      <c r="O26" s="17" t="s">
        <v>215</v>
      </c>
      <c r="P26" s="17" t="s">
        <v>220</v>
      </c>
      <c r="Q26" s="19" t="s">
        <v>115</v>
      </c>
      <c r="R26" s="17" t="s">
        <v>221</v>
      </c>
    </row>
    <row r="27" customFormat="false" ht="78" hidden="false" customHeight="true" outlineLevel="0" collapsed="false">
      <c r="D27" s="17" t="s">
        <v>222</v>
      </c>
      <c r="E27" s="18"/>
      <c r="F27" s="17" t="s">
        <v>223</v>
      </c>
      <c r="G27" s="19" t="s">
        <v>224</v>
      </c>
      <c r="H27" s="19" t="n">
        <v>300</v>
      </c>
      <c r="I27" s="19" t="s">
        <v>187</v>
      </c>
      <c r="J27" s="20" t="s">
        <v>73</v>
      </c>
      <c r="K27" s="20"/>
      <c r="L27" s="19" t="s">
        <v>74</v>
      </c>
      <c r="M27" s="21"/>
      <c r="N27" s="19" t="s">
        <v>225</v>
      </c>
      <c r="O27" s="17" t="s">
        <v>226</v>
      </c>
      <c r="P27" s="17" t="s">
        <v>227</v>
      </c>
      <c r="Q27" s="19" t="s">
        <v>115</v>
      </c>
      <c r="R27" s="17" t="s">
        <v>228</v>
      </c>
    </row>
    <row r="28" customFormat="false" ht="78" hidden="false" customHeight="true" outlineLevel="0" collapsed="false">
      <c r="D28" s="17" t="s">
        <v>229</v>
      </c>
      <c r="E28" s="22" t="s">
        <v>230</v>
      </c>
      <c r="F28" s="17" t="s">
        <v>231</v>
      </c>
      <c r="G28" s="19" t="s">
        <v>224</v>
      </c>
      <c r="H28" s="19" t="n">
        <v>300</v>
      </c>
      <c r="I28" s="19" t="s">
        <v>187</v>
      </c>
      <c r="J28" s="20" t="s">
        <v>73</v>
      </c>
      <c r="K28" s="20"/>
      <c r="L28" s="19" t="s">
        <v>74</v>
      </c>
      <c r="M28" s="21"/>
      <c r="N28" s="19" t="s">
        <v>225</v>
      </c>
      <c r="O28" s="17" t="s">
        <v>226</v>
      </c>
      <c r="P28" s="17" t="s">
        <v>232</v>
      </c>
      <c r="Q28" s="19" t="s">
        <v>115</v>
      </c>
      <c r="R28" s="17" t="s">
        <v>233</v>
      </c>
    </row>
    <row r="29" customFormat="false" ht="78" hidden="false" customHeight="true" outlineLevel="0" collapsed="false">
      <c r="D29" s="17" t="s">
        <v>234</v>
      </c>
      <c r="E29" s="22" t="s">
        <v>230</v>
      </c>
      <c r="F29" s="17" t="s">
        <v>235</v>
      </c>
      <c r="G29" s="19" t="s">
        <v>224</v>
      </c>
      <c r="H29" s="19" t="n">
        <v>300</v>
      </c>
      <c r="I29" s="19" t="s">
        <v>187</v>
      </c>
      <c r="J29" s="20" t="s">
        <v>73</v>
      </c>
      <c r="K29" s="20"/>
      <c r="L29" s="19" t="s">
        <v>74</v>
      </c>
      <c r="M29" s="21"/>
      <c r="N29" s="19" t="s">
        <v>225</v>
      </c>
      <c r="O29" s="17" t="s">
        <v>226</v>
      </c>
      <c r="P29" s="17" t="s">
        <v>236</v>
      </c>
      <c r="Q29" s="19" t="s">
        <v>115</v>
      </c>
      <c r="R29" s="17" t="s">
        <v>237</v>
      </c>
    </row>
    <row r="30" customFormat="false" ht="78" hidden="false" customHeight="true" outlineLevel="0" collapsed="false">
      <c r="D30" s="17" t="s">
        <v>238</v>
      </c>
      <c r="E30" s="22" t="s">
        <v>230</v>
      </c>
      <c r="F30" s="17" t="s">
        <v>239</v>
      </c>
      <c r="G30" s="19" t="s">
        <v>224</v>
      </c>
      <c r="H30" s="19" t="n">
        <v>300</v>
      </c>
      <c r="I30" s="19" t="s">
        <v>187</v>
      </c>
      <c r="J30" s="20" t="s">
        <v>73</v>
      </c>
      <c r="K30" s="20"/>
      <c r="L30" s="19" t="s">
        <v>74</v>
      </c>
      <c r="M30" s="21"/>
      <c r="N30" s="19" t="s">
        <v>225</v>
      </c>
      <c r="O30" s="17" t="s">
        <v>226</v>
      </c>
      <c r="P30" s="17" t="s">
        <v>240</v>
      </c>
      <c r="Q30" s="19" t="s">
        <v>115</v>
      </c>
      <c r="R30" s="17" t="s">
        <v>241</v>
      </c>
    </row>
    <row r="31" customFormat="false" ht="78" hidden="false" customHeight="true" outlineLevel="0" collapsed="false">
      <c r="D31" s="17" t="s">
        <v>242</v>
      </c>
      <c r="E31" s="22" t="s">
        <v>230</v>
      </c>
      <c r="F31" s="17" t="s">
        <v>243</v>
      </c>
      <c r="G31" s="19" t="s">
        <v>224</v>
      </c>
      <c r="H31" s="19" t="n">
        <v>300</v>
      </c>
      <c r="I31" s="19" t="s">
        <v>187</v>
      </c>
      <c r="J31" s="20" t="s">
        <v>73</v>
      </c>
      <c r="K31" s="20"/>
      <c r="L31" s="19" t="s">
        <v>74</v>
      </c>
      <c r="M31" s="21"/>
      <c r="N31" s="19" t="s">
        <v>225</v>
      </c>
      <c r="O31" s="17" t="s">
        <v>226</v>
      </c>
      <c r="P31" s="17" t="s">
        <v>244</v>
      </c>
      <c r="Q31" s="19" t="s">
        <v>115</v>
      </c>
      <c r="R31" s="17" t="s">
        <v>245</v>
      </c>
    </row>
    <row r="32" customFormat="false" ht="78" hidden="false" customHeight="true" outlineLevel="0" collapsed="false">
      <c r="D32" s="17" t="s">
        <v>246</v>
      </c>
      <c r="E32" s="22" t="s">
        <v>230</v>
      </c>
      <c r="F32" s="17" t="s">
        <v>247</v>
      </c>
      <c r="G32" s="19" t="s">
        <v>224</v>
      </c>
      <c r="H32" s="19" t="n">
        <v>300</v>
      </c>
      <c r="I32" s="19" t="s">
        <v>187</v>
      </c>
      <c r="J32" s="20" t="s">
        <v>73</v>
      </c>
      <c r="K32" s="20"/>
      <c r="L32" s="19" t="s">
        <v>74</v>
      </c>
      <c r="M32" s="21"/>
      <c r="N32" s="19" t="s">
        <v>225</v>
      </c>
      <c r="O32" s="17" t="s">
        <v>226</v>
      </c>
      <c r="P32" s="17" t="s">
        <v>248</v>
      </c>
      <c r="Q32" s="19" t="s">
        <v>115</v>
      </c>
      <c r="R32" s="17" t="s">
        <v>249</v>
      </c>
    </row>
    <row r="33" customFormat="false" ht="78" hidden="false" customHeight="true" outlineLevel="0" collapsed="false">
      <c r="D33" s="17" t="s">
        <v>250</v>
      </c>
      <c r="E33" s="22" t="s">
        <v>230</v>
      </c>
      <c r="F33" s="17" t="s">
        <v>251</v>
      </c>
      <c r="G33" s="19" t="s">
        <v>224</v>
      </c>
      <c r="H33" s="19" t="n">
        <v>300</v>
      </c>
      <c r="I33" s="19" t="s">
        <v>187</v>
      </c>
      <c r="J33" s="20" t="s">
        <v>73</v>
      </c>
      <c r="K33" s="20"/>
      <c r="L33" s="19" t="s">
        <v>74</v>
      </c>
      <c r="M33" s="21"/>
      <c r="N33" s="19" t="s">
        <v>225</v>
      </c>
      <c r="O33" s="17" t="s">
        <v>226</v>
      </c>
      <c r="P33" s="17" t="s">
        <v>252</v>
      </c>
      <c r="Q33" s="19" t="s">
        <v>115</v>
      </c>
      <c r="R33" s="17" t="s">
        <v>253</v>
      </c>
    </row>
    <row r="34" customFormat="false" ht="78" hidden="false" customHeight="true" outlineLevel="0" collapsed="false">
      <c r="D34" s="17" t="s">
        <v>254</v>
      </c>
      <c r="E34" s="22" t="s">
        <v>230</v>
      </c>
      <c r="F34" s="17" t="s">
        <v>255</v>
      </c>
      <c r="G34" s="19" t="s">
        <v>224</v>
      </c>
      <c r="H34" s="19" t="n">
        <v>300</v>
      </c>
      <c r="I34" s="19" t="s">
        <v>187</v>
      </c>
      <c r="J34" s="20" t="s">
        <v>73</v>
      </c>
      <c r="K34" s="20"/>
      <c r="L34" s="19" t="s">
        <v>74</v>
      </c>
      <c r="M34" s="21"/>
      <c r="N34" s="19" t="s">
        <v>225</v>
      </c>
      <c r="O34" s="17" t="s">
        <v>226</v>
      </c>
      <c r="P34" s="17" t="s">
        <v>256</v>
      </c>
      <c r="Q34" s="19" t="s">
        <v>115</v>
      </c>
      <c r="R34" s="17" t="s">
        <v>257</v>
      </c>
    </row>
    <row r="35" customFormat="false" ht="78" hidden="false" customHeight="true" outlineLevel="0" collapsed="false">
      <c r="D35" s="17" t="s">
        <v>258</v>
      </c>
      <c r="E35" s="18"/>
      <c r="F35" s="17" t="s">
        <v>259</v>
      </c>
      <c r="G35" s="19" t="s">
        <v>224</v>
      </c>
      <c r="H35" s="19" t="n">
        <v>300</v>
      </c>
      <c r="I35" s="19" t="s">
        <v>187</v>
      </c>
      <c r="J35" s="20" t="s">
        <v>73</v>
      </c>
      <c r="K35" s="20"/>
      <c r="L35" s="19" t="s">
        <v>74</v>
      </c>
      <c r="M35" s="21"/>
      <c r="N35" s="19" t="s">
        <v>225</v>
      </c>
      <c r="O35" s="17" t="s">
        <v>226</v>
      </c>
      <c r="P35" s="17" t="s">
        <v>260</v>
      </c>
      <c r="Q35" s="19" t="s">
        <v>115</v>
      </c>
      <c r="R35" s="17" t="s">
        <v>261</v>
      </c>
    </row>
    <row r="36" customFormat="false" ht="78" hidden="false" customHeight="true" outlineLevel="0" collapsed="false">
      <c r="D36" s="17" t="s">
        <v>262</v>
      </c>
      <c r="E36" s="18"/>
      <c r="F36" s="17" t="s">
        <v>263</v>
      </c>
      <c r="G36" s="19" t="s">
        <v>224</v>
      </c>
      <c r="H36" s="19" t="n">
        <v>300</v>
      </c>
      <c r="I36" s="19" t="s">
        <v>187</v>
      </c>
      <c r="J36" s="20" t="s">
        <v>73</v>
      </c>
      <c r="K36" s="20"/>
      <c r="L36" s="19" t="s">
        <v>74</v>
      </c>
      <c r="M36" s="21"/>
      <c r="N36" s="19" t="s">
        <v>225</v>
      </c>
      <c r="O36" s="17" t="s">
        <v>226</v>
      </c>
      <c r="P36" s="17" t="s">
        <v>264</v>
      </c>
      <c r="Q36" s="19" t="s">
        <v>115</v>
      </c>
      <c r="R36" s="17" t="s">
        <v>265</v>
      </c>
    </row>
    <row r="37" customFormat="false" ht="78" hidden="false" customHeight="true" outlineLevel="0" collapsed="false">
      <c r="D37" s="17" t="s">
        <v>266</v>
      </c>
      <c r="E37" s="22" t="s">
        <v>230</v>
      </c>
      <c r="F37" s="17" t="s">
        <v>267</v>
      </c>
      <c r="G37" s="19" t="s">
        <v>224</v>
      </c>
      <c r="H37" s="19" t="n">
        <v>300</v>
      </c>
      <c r="I37" s="19" t="s">
        <v>187</v>
      </c>
      <c r="J37" s="20" t="s">
        <v>73</v>
      </c>
      <c r="K37" s="20"/>
      <c r="L37" s="19" t="s">
        <v>74</v>
      </c>
      <c r="M37" s="21"/>
      <c r="N37" s="19" t="s">
        <v>225</v>
      </c>
      <c r="O37" s="17" t="s">
        <v>226</v>
      </c>
      <c r="P37" s="17" t="s">
        <v>268</v>
      </c>
      <c r="Q37" s="19" t="s">
        <v>115</v>
      </c>
      <c r="R37" s="17" t="s">
        <v>269</v>
      </c>
    </row>
    <row r="38" customFormat="false" ht="78" hidden="false" customHeight="true" outlineLevel="0" collapsed="false">
      <c r="D38" s="17" t="s">
        <v>270</v>
      </c>
      <c r="E38" s="22" t="s">
        <v>230</v>
      </c>
      <c r="F38" s="17" t="s">
        <v>271</v>
      </c>
      <c r="G38" s="19" t="s">
        <v>224</v>
      </c>
      <c r="H38" s="19" t="n">
        <v>300</v>
      </c>
      <c r="I38" s="19" t="s">
        <v>187</v>
      </c>
      <c r="J38" s="20" t="s">
        <v>73</v>
      </c>
      <c r="K38" s="20"/>
      <c r="L38" s="19" t="s">
        <v>74</v>
      </c>
      <c r="M38" s="21"/>
      <c r="N38" s="19" t="s">
        <v>225</v>
      </c>
      <c r="O38" s="17" t="s">
        <v>226</v>
      </c>
      <c r="P38" s="17" t="s">
        <v>272</v>
      </c>
      <c r="Q38" s="19" t="s">
        <v>115</v>
      </c>
      <c r="R38" s="17" t="s">
        <v>273</v>
      </c>
    </row>
    <row r="39" customFormat="false" ht="78" hidden="false" customHeight="true" outlineLevel="0" collapsed="false">
      <c r="D39" s="17" t="s">
        <v>274</v>
      </c>
      <c r="E39" s="22" t="s">
        <v>230</v>
      </c>
      <c r="F39" s="17" t="s">
        <v>275</v>
      </c>
      <c r="G39" s="19" t="s">
        <v>224</v>
      </c>
      <c r="H39" s="19" t="n">
        <v>300</v>
      </c>
      <c r="I39" s="19" t="s">
        <v>187</v>
      </c>
      <c r="J39" s="20" t="s">
        <v>73</v>
      </c>
      <c r="K39" s="20"/>
      <c r="L39" s="19" t="s">
        <v>74</v>
      </c>
      <c r="M39" s="21"/>
      <c r="N39" s="19" t="s">
        <v>225</v>
      </c>
      <c r="O39" s="17" t="s">
        <v>226</v>
      </c>
      <c r="P39" s="17" t="s">
        <v>276</v>
      </c>
      <c r="Q39" s="19" t="s">
        <v>115</v>
      </c>
      <c r="R39" s="17" t="s">
        <v>277</v>
      </c>
    </row>
    <row r="40" customFormat="false" ht="78" hidden="false" customHeight="true" outlineLevel="0" collapsed="false">
      <c r="D40" s="17" t="s">
        <v>278</v>
      </c>
      <c r="E40" s="22" t="s">
        <v>230</v>
      </c>
      <c r="F40" s="17" t="s">
        <v>279</v>
      </c>
      <c r="G40" s="19" t="s">
        <v>224</v>
      </c>
      <c r="H40" s="19" t="n">
        <v>300</v>
      </c>
      <c r="I40" s="19" t="s">
        <v>187</v>
      </c>
      <c r="J40" s="20" t="s">
        <v>73</v>
      </c>
      <c r="K40" s="20"/>
      <c r="L40" s="19" t="s">
        <v>74</v>
      </c>
      <c r="M40" s="21"/>
      <c r="N40" s="19" t="s">
        <v>225</v>
      </c>
      <c r="O40" s="17" t="s">
        <v>226</v>
      </c>
      <c r="P40" s="17" t="s">
        <v>280</v>
      </c>
      <c r="Q40" s="19" t="s">
        <v>115</v>
      </c>
      <c r="R40" s="17" t="s">
        <v>281</v>
      </c>
    </row>
    <row r="41" customFormat="false" ht="78" hidden="false" customHeight="true" outlineLevel="0" collapsed="false">
      <c r="D41" s="17" t="s">
        <v>282</v>
      </c>
      <c r="E41" s="18"/>
      <c r="F41" s="17" t="s">
        <v>283</v>
      </c>
      <c r="G41" s="19" t="s">
        <v>224</v>
      </c>
      <c r="H41" s="19" t="n">
        <v>300</v>
      </c>
      <c r="I41" s="19" t="s">
        <v>187</v>
      </c>
      <c r="J41" s="20" t="s">
        <v>73</v>
      </c>
      <c r="K41" s="20"/>
      <c r="L41" s="19" t="s">
        <v>74</v>
      </c>
      <c r="M41" s="21"/>
      <c r="N41" s="19" t="s">
        <v>225</v>
      </c>
      <c r="O41" s="17" t="s">
        <v>226</v>
      </c>
      <c r="P41" s="17" t="s">
        <v>284</v>
      </c>
      <c r="Q41" s="19" t="s">
        <v>115</v>
      </c>
      <c r="R41" s="17" t="s">
        <v>285</v>
      </c>
    </row>
    <row r="42" customFormat="false" ht="78" hidden="false" customHeight="true" outlineLevel="0" collapsed="false">
      <c r="D42" s="17" t="s">
        <v>286</v>
      </c>
      <c r="E42" s="22" t="s">
        <v>230</v>
      </c>
      <c r="F42" s="17" t="s">
        <v>287</v>
      </c>
      <c r="G42" s="19" t="s">
        <v>224</v>
      </c>
      <c r="H42" s="19" t="n">
        <v>300</v>
      </c>
      <c r="I42" s="19" t="s">
        <v>187</v>
      </c>
      <c r="J42" s="20" t="s">
        <v>73</v>
      </c>
      <c r="K42" s="20"/>
      <c r="L42" s="19" t="s">
        <v>74</v>
      </c>
      <c r="M42" s="21"/>
      <c r="N42" s="19" t="s">
        <v>225</v>
      </c>
      <c r="O42" s="17" t="s">
        <v>226</v>
      </c>
      <c r="P42" s="17" t="s">
        <v>288</v>
      </c>
      <c r="Q42" s="19" t="s">
        <v>115</v>
      </c>
      <c r="R42" s="17" t="s">
        <v>289</v>
      </c>
    </row>
    <row r="43" customFormat="false" ht="78" hidden="false" customHeight="true" outlineLevel="0" collapsed="false">
      <c r="D43" s="17" t="s">
        <v>290</v>
      </c>
      <c r="E43" s="22" t="s">
        <v>230</v>
      </c>
      <c r="F43" s="17" t="s">
        <v>291</v>
      </c>
      <c r="G43" s="19" t="s">
        <v>224</v>
      </c>
      <c r="H43" s="19" t="n">
        <v>300</v>
      </c>
      <c r="I43" s="19" t="s">
        <v>187</v>
      </c>
      <c r="J43" s="20" t="s">
        <v>73</v>
      </c>
      <c r="K43" s="20"/>
      <c r="L43" s="19" t="s">
        <v>74</v>
      </c>
      <c r="M43" s="21"/>
      <c r="N43" s="19" t="s">
        <v>225</v>
      </c>
      <c r="O43" s="17" t="s">
        <v>226</v>
      </c>
      <c r="P43" s="17" t="s">
        <v>292</v>
      </c>
      <c r="Q43" s="19" t="s">
        <v>115</v>
      </c>
      <c r="R43" s="17" t="s">
        <v>293</v>
      </c>
    </row>
    <row r="44" customFormat="false" ht="78" hidden="false" customHeight="true" outlineLevel="0" collapsed="false">
      <c r="D44" s="17" t="s">
        <v>294</v>
      </c>
      <c r="E44" s="22" t="s">
        <v>230</v>
      </c>
      <c r="F44" s="17" t="s">
        <v>295</v>
      </c>
      <c r="G44" s="19" t="s">
        <v>224</v>
      </c>
      <c r="H44" s="19" t="n">
        <v>300</v>
      </c>
      <c r="I44" s="19" t="s">
        <v>187</v>
      </c>
      <c r="J44" s="20" t="s">
        <v>73</v>
      </c>
      <c r="K44" s="20"/>
      <c r="L44" s="19" t="s">
        <v>74</v>
      </c>
      <c r="M44" s="21"/>
      <c r="N44" s="19" t="s">
        <v>225</v>
      </c>
      <c r="O44" s="17" t="s">
        <v>226</v>
      </c>
      <c r="P44" s="17" t="s">
        <v>296</v>
      </c>
      <c r="Q44" s="19" t="s">
        <v>115</v>
      </c>
      <c r="R44" s="17" t="s">
        <v>297</v>
      </c>
    </row>
    <row r="45" customFormat="false" ht="78" hidden="false" customHeight="true" outlineLevel="0" collapsed="false">
      <c r="D45" s="17" t="s">
        <v>298</v>
      </c>
      <c r="E45" s="22" t="s">
        <v>230</v>
      </c>
      <c r="F45" s="17" t="s">
        <v>299</v>
      </c>
      <c r="G45" s="19" t="s">
        <v>224</v>
      </c>
      <c r="H45" s="19" t="n">
        <v>300</v>
      </c>
      <c r="I45" s="19" t="s">
        <v>187</v>
      </c>
      <c r="J45" s="20" t="s">
        <v>73</v>
      </c>
      <c r="K45" s="20"/>
      <c r="L45" s="19" t="s">
        <v>74</v>
      </c>
      <c r="M45" s="21"/>
      <c r="N45" s="19" t="s">
        <v>225</v>
      </c>
      <c r="O45" s="17" t="s">
        <v>226</v>
      </c>
      <c r="P45" s="17" t="s">
        <v>300</v>
      </c>
      <c r="Q45" s="19" t="s">
        <v>115</v>
      </c>
      <c r="R45" s="17" t="s">
        <v>301</v>
      </c>
    </row>
    <row r="46" customFormat="false" ht="78" hidden="false" customHeight="true" outlineLevel="0" collapsed="false">
      <c r="D46" s="17" t="s">
        <v>302</v>
      </c>
      <c r="E46" s="22" t="s">
        <v>230</v>
      </c>
      <c r="F46" s="17" t="s">
        <v>303</v>
      </c>
      <c r="G46" s="19" t="s">
        <v>224</v>
      </c>
      <c r="H46" s="19" t="n">
        <v>300</v>
      </c>
      <c r="I46" s="19" t="s">
        <v>187</v>
      </c>
      <c r="J46" s="20" t="s">
        <v>73</v>
      </c>
      <c r="K46" s="20"/>
      <c r="L46" s="19" t="s">
        <v>74</v>
      </c>
      <c r="M46" s="21"/>
      <c r="N46" s="19" t="s">
        <v>225</v>
      </c>
      <c r="O46" s="17" t="s">
        <v>226</v>
      </c>
      <c r="P46" s="17" t="s">
        <v>304</v>
      </c>
      <c r="Q46" s="19" t="s">
        <v>115</v>
      </c>
      <c r="R46" s="17" t="s">
        <v>305</v>
      </c>
    </row>
    <row r="47" customFormat="false" ht="78" hidden="false" customHeight="true" outlineLevel="0" collapsed="false">
      <c r="D47" s="17" t="s">
        <v>306</v>
      </c>
      <c r="E47" s="22" t="s">
        <v>230</v>
      </c>
      <c r="F47" s="17" t="s">
        <v>307</v>
      </c>
      <c r="G47" s="19" t="s">
        <v>224</v>
      </c>
      <c r="H47" s="19" t="n">
        <v>300</v>
      </c>
      <c r="I47" s="19" t="s">
        <v>187</v>
      </c>
      <c r="J47" s="20" t="s">
        <v>73</v>
      </c>
      <c r="K47" s="20"/>
      <c r="L47" s="19" t="s">
        <v>74</v>
      </c>
      <c r="M47" s="21"/>
      <c r="N47" s="19" t="s">
        <v>225</v>
      </c>
      <c r="O47" s="17" t="s">
        <v>226</v>
      </c>
      <c r="P47" s="17" t="s">
        <v>308</v>
      </c>
      <c r="Q47" s="19" t="s">
        <v>115</v>
      </c>
      <c r="R47" s="17" t="s">
        <v>309</v>
      </c>
    </row>
    <row r="48" customFormat="false" ht="78" hidden="false" customHeight="true" outlineLevel="0" collapsed="false">
      <c r="D48" s="17" t="s">
        <v>310</v>
      </c>
      <c r="E48" s="18"/>
      <c r="F48" s="17" t="s">
        <v>311</v>
      </c>
      <c r="G48" s="19" t="s">
        <v>312</v>
      </c>
      <c r="H48" s="19" t="n">
        <v>300</v>
      </c>
      <c r="I48" s="19" t="s">
        <v>187</v>
      </c>
      <c r="J48" s="20" t="s">
        <v>73</v>
      </c>
      <c r="K48" s="20"/>
      <c r="L48" s="19" t="s">
        <v>74</v>
      </c>
      <c r="M48" s="21"/>
      <c r="N48" s="19" t="s">
        <v>313</v>
      </c>
      <c r="O48" s="17" t="s">
        <v>314</v>
      </c>
      <c r="P48" s="17" t="s">
        <v>315</v>
      </c>
      <c r="Q48" s="19" t="s">
        <v>115</v>
      </c>
      <c r="R48" s="17" t="s">
        <v>316</v>
      </c>
    </row>
    <row r="49" customFormat="false" ht="78" hidden="false" customHeight="true" outlineLevel="0" collapsed="false">
      <c r="D49" s="17" t="s">
        <v>317</v>
      </c>
      <c r="E49" s="18"/>
      <c r="F49" s="17" t="s">
        <v>318</v>
      </c>
      <c r="G49" s="19" t="s">
        <v>312</v>
      </c>
      <c r="H49" s="19" t="n">
        <v>300</v>
      </c>
      <c r="I49" s="19" t="s">
        <v>187</v>
      </c>
      <c r="J49" s="20" t="s">
        <v>73</v>
      </c>
      <c r="K49" s="20"/>
      <c r="L49" s="19" t="s">
        <v>74</v>
      </c>
      <c r="M49" s="21"/>
      <c r="N49" s="19" t="s">
        <v>313</v>
      </c>
      <c r="O49" s="17" t="s">
        <v>314</v>
      </c>
      <c r="P49" s="17" t="s">
        <v>319</v>
      </c>
      <c r="Q49" s="19" t="s">
        <v>115</v>
      </c>
      <c r="R49" s="17" t="s">
        <v>320</v>
      </c>
    </row>
    <row r="50" customFormat="false" ht="78" hidden="false" customHeight="true" outlineLevel="0" collapsed="false">
      <c r="D50" s="17" t="s">
        <v>321</v>
      </c>
      <c r="E50" s="18"/>
      <c r="F50" s="17" t="s">
        <v>322</v>
      </c>
      <c r="G50" s="19" t="s">
        <v>312</v>
      </c>
      <c r="H50" s="19" t="n">
        <v>300</v>
      </c>
      <c r="I50" s="19" t="s">
        <v>187</v>
      </c>
      <c r="J50" s="20" t="s">
        <v>73</v>
      </c>
      <c r="K50" s="20"/>
      <c r="L50" s="19" t="s">
        <v>74</v>
      </c>
      <c r="M50" s="21"/>
      <c r="N50" s="19" t="s">
        <v>313</v>
      </c>
      <c r="O50" s="17" t="s">
        <v>314</v>
      </c>
      <c r="P50" s="17" t="s">
        <v>323</v>
      </c>
      <c r="Q50" s="19" t="s">
        <v>115</v>
      </c>
      <c r="R50" s="17" t="s">
        <v>324</v>
      </c>
    </row>
    <row r="51" customFormat="false" ht="78" hidden="false" customHeight="true" outlineLevel="0" collapsed="false">
      <c r="D51" s="17" t="s">
        <v>325</v>
      </c>
      <c r="E51" s="22" t="s">
        <v>230</v>
      </c>
      <c r="F51" s="17" t="s">
        <v>326</v>
      </c>
      <c r="G51" s="19" t="s">
        <v>312</v>
      </c>
      <c r="H51" s="19" t="n">
        <v>300</v>
      </c>
      <c r="I51" s="19" t="s">
        <v>187</v>
      </c>
      <c r="J51" s="20" t="s">
        <v>73</v>
      </c>
      <c r="K51" s="20"/>
      <c r="L51" s="19" t="s">
        <v>74</v>
      </c>
      <c r="M51" s="21"/>
      <c r="N51" s="19" t="s">
        <v>313</v>
      </c>
      <c r="O51" s="17" t="s">
        <v>314</v>
      </c>
      <c r="P51" s="17" t="s">
        <v>327</v>
      </c>
      <c r="Q51" s="19" t="s">
        <v>115</v>
      </c>
      <c r="R51" s="17" t="s">
        <v>328</v>
      </c>
    </row>
    <row r="52" customFormat="false" ht="78" hidden="false" customHeight="true" outlineLevel="0" collapsed="false">
      <c r="D52" s="17" t="s">
        <v>329</v>
      </c>
      <c r="E52" s="18"/>
      <c r="F52" s="17" t="s">
        <v>330</v>
      </c>
      <c r="G52" s="19" t="s">
        <v>312</v>
      </c>
      <c r="H52" s="19" t="n">
        <v>300</v>
      </c>
      <c r="I52" s="19" t="s">
        <v>187</v>
      </c>
      <c r="J52" s="20" t="s">
        <v>73</v>
      </c>
      <c r="K52" s="20"/>
      <c r="L52" s="19" t="s">
        <v>74</v>
      </c>
      <c r="M52" s="21"/>
      <c r="N52" s="19" t="s">
        <v>313</v>
      </c>
      <c r="O52" s="17" t="s">
        <v>314</v>
      </c>
      <c r="P52" s="17" t="s">
        <v>331</v>
      </c>
      <c r="Q52" s="19" t="s">
        <v>115</v>
      </c>
      <c r="R52" s="17" t="s">
        <v>332</v>
      </c>
    </row>
    <row r="53" customFormat="false" ht="78" hidden="false" customHeight="true" outlineLevel="0" collapsed="false">
      <c r="D53" s="17" t="s">
        <v>333</v>
      </c>
      <c r="E53" s="18"/>
      <c r="F53" s="17" t="s">
        <v>334</v>
      </c>
      <c r="G53" s="19" t="s">
        <v>312</v>
      </c>
      <c r="H53" s="19" t="n">
        <v>300</v>
      </c>
      <c r="I53" s="19" t="s">
        <v>187</v>
      </c>
      <c r="J53" s="20" t="s">
        <v>73</v>
      </c>
      <c r="K53" s="20"/>
      <c r="L53" s="19" t="s">
        <v>74</v>
      </c>
      <c r="M53" s="21"/>
      <c r="N53" s="19" t="s">
        <v>313</v>
      </c>
      <c r="O53" s="17" t="s">
        <v>314</v>
      </c>
      <c r="P53" s="17" t="s">
        <v>335</v>
      </c>
      <c r="Q53" s="19" t="s">
        <v>115</v>
      </c>
      <c r="R53" s="17" t="s">
        <v>336</v>
      </c>
    </row>
    <row r="54" customFormat="false" ht="78" hidden="false" customHeight="true" outlineLevel="0" collapsed="false">
      <c r="D54" s="17" t="s">
        <v>337</v>
      </c>
      <c r="E54" s="18"/>
      <c r="F54" s="17" t="s">
        <v>338</v>
      </c>
      <c r="G54" s="19" t="s">
        <v>312</v>
      </c>
      <c r="H54" s="19" t="n">
        <v>300</v>
      </c>
      <c r="I54" s="19" t="s">
        <v>187</v>
      </c>
      <c r="J54" s="20" t="s">
        <v>73</v>
      </c>
      <c r="K54" s="20"/>
      <c r="L54" s="19" t="s">
        <v>74</v>
      </c>
      <c r="M54" s="21"/>
      <c r="N54" s="19" t="s">
        <v>313</v>
      </c>
      <c r="O54" s="17" t="s">
        <v>314</v>
      </c>
      <c r="P54" s="17" t="s">
        <v>339</v>
      </c>
      <c r="Q54" s="19" t="s">
        <v>115</v>
      </c>
      <c r="R54" s="17" t="s">
        <v>340</v>
      </c>
    </row>
    <row r="55" customFormat="false" ht="78" hidden="false" customHeight="true" outlineLevel="0" collapsed="false">
      <c r="D55" s="17" t="s">
        <v>341</v>
      </c>
      <c r="E55" s="18"/>
      <c r="F55" s="17" t="s">
        <v>342</v>
      </c>
      <c r="G55" s="19" t="s">
        <v>343</v>
      </c>
      <c r="H55" s="19" t="n">
        <v>300</v>
      </c>
      <c r="I55" s="19" t="s">
        <v>187</v>
      </c>
      <c r="J55" s="20" t="s">
        <v>73</v>
      </c>
      <c r="K55" s="20"/>
      <c r="L55" s="19" t="s">
        <v>74</v>
      </c>
      <c r="M55" s="21"/>
      <c r="N55" s="19" t="s">
        <v>344</v>
      </c>
      <c r="O55" s="17" t="s">
        <v>345</v>
      </c>
      <c r="P55" s="17" t="s">
        <v>346</v>
      </c>
      <c r="Q55" s="19" t="s">
        <v>347</v>
      </c>
      <c r="R55" s="17" t="s">
        <v>348</v>
      </c>
    </row>
    <row r="56" customFormat="false" ht="78" hidden="false" customHeight="true" outlineLevel="0" collapsed="false">
      <c r="D56" s="17" t="s">
        <v>349</v>
      </c>
      <c r="E56" s="18"/>
      <c r="F56" s="17" t="s">
        <v>350</v>
      </c>
      <c r="G56" s="19" t="s">
        <v>351</v>
      </c>
      <c r="H56" s="19" t="n">
        <v>300</v>
      </c>
      <c r="I56" s="19" t="s">
        <v>187</v>
      </c>
      <c r="J56" s="20" t="s">
        <v>73</v>
      </c>
      <c r="K56" s="20"/>
      <c r="L56" s="19" t="s">
        <v>74</v>
      </c>
      <c r="M56" s="21"/>
      <c r="N56" s="19" t="s">
        <v>352</v>
      </c>
      <c r="O56" s="17" t="s">
        <v>353</v>
      </c>
      <c r="P56" s="17" t="s">
        <v>354</v>
      </c>
      <c r="Q56" s="19" t="s">
        <v>347</v>
      </c>
      <c r="R56" s="17" t="s">
        <v>355</v>
      </c>
    </row>
    <row r="57" customFormat="false" ht="78" hidden="false" customHeight="true" outlineLevel="0" collapsed="false">
      <c r="D57" s="17" t="s">
        <v>356</v>
      </c>
      <c r="E57" s="18"/>
      <c r="F57" s="17" t="s">
        <v>357</v>
      </c>
      <c r="G57" s="19" t="s">
        <v>351</v>
      </c>
      <c r="H57" s="19" t="n">
        <v>300</v>
      </c>
      <c r="I57" s="19" t="s">
        <v>187</v>
      </c>
      <c r="J57" s="20" t="s">
        <v>73</v>
      </c>
      <c r="K57" s="20"/>
      <c r="L57" s="19" t="s">
        <v>74</v>
      </c>
      <c r="M57" s="21"/>
      <c r="N57" s="19" t="s">
        <v>352</v>
      </c>
      <c r="O57" s="17" t="s">
        <v>358</v>
      </c>
      <c r="P57" s="17" t="s">
        <v>359</v>
      </c>
      <c r="Q57" s="19" t="s">
        <v>347</v>
      </c>
      <c r="R57" s="17" t="s">
        <v>360</v>
      </c>
    </row>
    <row r="58" customFormat="false" ht="78" hidden="false" customHeight="true" outlineLevel="0" collapsed="false">
      <c r="D58" s="17" t="s">
        <v>361</v>
      </c>
      <c r="E58" s="18"/>
      <c r="F58" s="17" t="s">
        <v>362</v>
      </c>
      <c r="G58" s="19" t="s">
        <v>343</v>
      </c>
      <c r="H58" s="19" t="n">
        <v>300</v>
      </c>
      <c r="I58" s="19" t="s">
        <v>187</v>
      </c>
      <c r="J58" s="20" t="s">
        <v>73</v>
      </c>
      <c r="K58" s="20"/>
      <c r="L58" s="19" t="s">
        <v>74</v>
      </c>
      <c r="M58" s="21"/>
      <c r="N58" s="19" t="s">
        <v>344</v>
      </c>
      <c r="O58" s="17" t="s">
        <v>363</v>
      </c>
      <c r="P58" s="17" t="s">
        <v>364</v>
      </c>
      <c r="Q58" s="19" t="s">
        <v>347</v>
      </c>
      <c r="R58" s="17" t="s">
        <v>365</v>
      </c>
    </row>
    <row r="59" customFormat="false" ht="78" hidden="false" customHeight="true" outlineLevel="0" collapsed="false">
      <c r="D59" s="17" t="s">
        <v>366</v>
      </c>
      <c r="E59" s="18"/>
      <c r="F59" s="17" t="s">
        <v>367</v>
      </c>
      <c r="G59" s="19" t="s">
        <v>343</v>
      </c>
      <c r="H59" s="19" t="n">
        <v>300</v>
      </c>
      <c r="I59" s="19" t="s">
        <v>187</v>
      </c>
      <c r="J59" s="20" t="s">
        <v>73</v>
      </c>
      <c r="K59" s="20"/>
      <c r="L59" s="19" t="s">
        <v>74</v>
      </c>
      <c r="M59" s="21"/>
      <c r="N59" s="19" t="s">
        <v>368</v>
      </c>
      <c r="O59" s="17" t="s">
        <v>369</v>
      </c>
      <c r="P59" s="17" t="s">
        <v>370</v>
      </c>
      <c r="Q59" s="19" t="s">
        <v>347</v>
      </c>
      <c r="R59" s="17" t="s">
        <v>371</v>
      </c>
    </row>
    <row r="60" customFormat="false" ht="78" hidden="false" customHeight="true" outlineLevel="0" collapsed="false">
      <c r="D60" s="17" t="s">
        <v>372</v>
      </c>
      <c r="E60" s="18"/>
      <c r="F60" s="17" t="s">
        <v>373</v>
      </c>
      <c r="G60" s="19" t="s">
        <v>343</v>
      </c>
      <c r="H60" s="19" t="n">
        <v>300</v>
      </c>
      <c r="I60" s="19" t="s">
        <v>187</v>
      </c>
      <c r="J60" s="20" t="s">
        <v>73</v>
      </c>
      <c r="K60" s="20"/>
      <c r="L60" s="19" t="s">
        <v>74</v>
      </c>
      <c r="M60" s="21"/>
      <c r="N60" s="19" t="s">
        <v>368</v>
      </c>
      <c r="O60" s="17" t="s">
        <v>369</v>
      </c>
      <c r="P60" s="17" t="s">
        <v>374</v>
      </c>
      <c r="Q60" s="19" t="s">
        <v>347</v>
      </c>
      <c r="R60" s="17" t="s">
        <v>375</v>
      </c>
    </row>
    <row r="61" customFormat="false" ht="78" hidden="false" customHeight="true" outlineLevel="0" collapsed="false">
      <c r="D61" s="17" t="s">
        <v>376</v>
      </c>
      <c r="E61" s="18"/>
      <c r="F61" s="17" t="s">
        <v>377</v>
      </c>
      <c r="G61" s="19" t="s">
        <v>351</v>
      </c>
      <c r="H61" s="19" t="n">
        <v>300</v>
      </c>
      <c r="I61" s="19" t="s">
        <v>187</v>
      </c>
      <c r="J61" s="20" t="s">
        <v>73</v>
      </c>
      <c r="K61" s="20"/>
      <c r="L61" s="19" t="s">
        <v>74</v>
      </c>
      <c r="M61" s="21"/>
      <c r="N61" s="19" t="s">
        <v>378</v>
      </c>
      <c r="O61" s="17" t="s">
        <v>379</v>
      </c>
      <c r="P61" s="17" t="s">
        <v>380</v>
      </c>
      <c r="Q61" s="19" t="s">
        <v>347</v>
      </c>
      <c r="R61" s="17" t="s">
        <v>381</v>
      </c>
    </row>
    <row r="62" customFormat="false" ht="78" hidden="false" customHeight="true" outlineLevel="0" collapsed="false">
      <c r="D62" s="17" t="s">
        <v>382</v>
      </c>
      <c r="E62" s="18"/>
      <c r="F62" s="17" t="s">
        <v>383</v>
      </c>
      <c r="G62" s="19" t="s">
        <v>384</v>
      </c>
      <c r="H62" s="19" t="n">
        <v>300</v>
      </c>
      <c r="I62" s="19" t="s">
        <v>187</v>
      </c>
      <c r="J62" s="20" t="s">
        <v>73</v>
      </c>
      <c r="K62" s="20"/>
      <c r="L62" s="19" t="s">
        <v>74</v>
      </c>
      <c r="M62" s="21"/>
      <c r="N62" s="19" t="s">
        <v>385</v>
      </c>
      <c r="O62" s="17" t="s">
        <v>386</v>
      </c>
      <c r="P62" s="17" t="s">
        <v>387</v>
      </c>
      <c r="Q62" s="19" t="s">
        <v>347</v>
      </c>
      <c r="R62" s="17" t="s">
        <v>388</v>
      </c>
    </row>
    <row r="63" customFormat="false" ht="78" hidden="false" customHeight="true" outlineLevel="0" collapsed="false">
      <c r="D63" s="17" t="s">
        <v>389</v>
      </c>
      <c r="E63" s="18"/>
      <c r="F63" s="17" t="s">
        <v>390</v>
      </c>
      <c r="G63" s="19" t="s">
        <v>391</v>
      </c>
      <c r="H63" s="19" t="n">
        <v>300</v>
      </c>
      <c r="I63" s="19" t="s">
        <v>187</v>
      </c>
      <c r="J63" s="20" t="s">
        <v>73</v>
      </c>
      <c r="K63" s="20"/>
      <c r="L63" s="19" t="s">
        <v>74</v>
      </c>
      <c r="M63" s="21"/>
      <c r="N63" s="19" t="s">
        <v>368</v>
      </c>
      <c r="O63" s="17" t="s">
        <v>392</v>
      </c>
      <c r="P63" s="17" t="s">
        <v>393</v>
      </c>
      <c r="Q63" s="19" t="s">
        <v>347</v>
      </c>
      <c r="R63" s="17" t="s">
        <v>394</v>
      </c>
    </row>
    <row r="64" customFormat="false" ht="78" hidden="false" customHeight="true" outlineLevel="0" collapsed="false">
      <c r="D64" s="17" t="s">
        <v>395</v>
      </c>
      <c r="E64" s="18"/>
      <c r="F64" s="17" t="s">
        <v>396</v>
      </c>
      <c r="G64" s="19" t="s">
        <v>397</v>
      </c>
      <c r="H64" s="19" t="n">
        <v>300</v>
      </c>
      <c r="I64" s="19" t="s">
        <v>187</v>
      </c>
      <c r="J64" s="20" t="s">
        <v>73</v>
      </c>
      <c r="K64" s="20"/>
      <c r="L64" s="19" t="s">
        <v>74</v>
      </c>
      <c r="M64" s="21"/>
      <c r="N64" s="19" t="s">
        <v>398</v>
      </c>
      <c r="O64" s="17" t="s">
        <v>399</v>
      </c>
      <c r="P64" s="17" t="s">
        <v>400</v>
      </c>
      <c r="Q64" s="19" t="s">
        <v>347</v>
      </c>
      <c r="R64" s="17" t="s">
        <v>401</v>
      </c>
    </row>
    <row r="65" customFormat="false" ht="78" hidden="false" customHeight="true" outlineLevel="0" collapsed="false">
      <c r="D65" s="17" t="s">
        <v>402</v>
      </c>
      <c r="E65" s="18"/>
      <c r="F65" s="17" t="s">
        <v>403</v>
      </c>
      <c r="G65" s="19" t="s">
        <v>397</v>
      </c>
      <c r="H65" s="19" t="n">
        <v>300</v>
      </c>
      <c r="I65" s="19" t="s">
        <v>187</v>
      </c>
      <c r="J65" s="20" t="s">
        <v>73</v>
      </c>
      <c r="K65" s="20"/>
      <c r="L65" s="19" t="s">
        <v>74</v>
      </c>
      <c r="M65" s="21"/>
      <c r="N65" s="19" t="s">
        <v>404</v>
      </c>
      <c r="O65" s="17" t="s">
        <v>405</v>
      </c>
      <c r="P65" s="17" t="s">
        <v>406</v>
      </c>
      <c r="Q65" s="19" t="s">
        <v>347</v>
      </c>
      <c r="R65" s="17" t="s">
        <v>407</v>
      </c>
    </row>
    <row r="66" customFormat="false" ht="78" hidden="false" customHeight="true" outlineLevel="0" collapsed="false">
      <c r="D66" s="17" t="s">
        <v>408</v>
      </c>
      <c r="E66" s="18"/>
      <c r="F66" s="17" t="s">
        <v>409</v>
      </c>
      <c r="G66" s="19" t="s">
        <v>397</v>
      </c>
      <c r="H66" s="19" t="n">
        <v>300</v>
      </c>
      <c r="I66" s="19" t="s">
        <v>187</v>
      </c>
      <c r="J66" s="20" t="s">
        <v>73</v>
      </c>
      <c r="K66" s="20"/>
      <c r="L66" s="19" t="s">
        <v>74</v>
      </c>
      <c r="M66" s="21"/>
      <c r="N66" s="19" t="s">
        <v>404</v>
      </c>
      <c r="O66" s="17" t="s">
        <v>405</v>
      </c>
      <c r="P66" s="17" t="s">
        <v>410</v>
      </c>
      <c r="Q66" s="19" t="s">
        <v>347</v>
      </c>
      <c r="R66" s="17" t="s">
        <v>411</v>
      </c>
    </row>
    <row r="67" customFormat="false" ht="78" hidden="false" customHeight="true" outlineLevel="0" collapsed="false">
      <c r="D67" s="17" t="s">
        <v>412</v>
      </c>
      <c r="E67" s="18"/>
      <c r="F67" s="17" t="s">
        <v>413</v>
      </c>
      <c r="G67" s="19" t="s">
        <v>397</v>
      </c>
      <c r="H67" s="19" t="n">
        <v>300</v>
      </c>
      <c r="I67" s="19" t="s">
        <v>187</v>
      </c>
      <c r="J67" s="20" t="s">
        <v>73</v>
      </c>
      <c r="K67" s="20"/>
      <c r="L67" s="19" t="s">
        <v>74</v>
      </c>
      <c r="M67" s="21"/>
      <c r="N67" s="19" t="s">
        <v>404</v>
      </c>
      <c r="O67" s="17" t="s">
        <v>405</v>
      </c>
      <c r="P67" s="17" t="s">
        <v>414</v>
      </c>
      <c r="Q67" s="19" t="s">
        <v>347</v>
      </c>
      <c r="R67" s="17" t="s">
        <v>415</v>
      </c>
    </row>
    <row r="68" customFormat="false" ht="78" hidden="false" customHeight="true" outlineLevel="0" collapsed="false">
      <c r="D68" s="17" t="s">
        <v>416</v>
      </c>
      <c r="E68" s="18"/>
      <c r="F68" s="17" t="s">
        <v>417</v>
      </c>
      <c r="G68" s="19" t="s">
        <v>397</v>
      </c>
      <c r="H68" s="19" t="n">
        <v>300</v>
      </c>
      <c r="I68" s="19" t="s">
        <v>187</v>
      </c>
      <c r="J68" s="20" t="s">
        <v>73</v>
      </c>
      <c r="K68" s="20"/>
      <c r="L68" s="19" t="s">
        <v>74</v>
      </c>
      <c r="M68" s="21"/>
      <c r="N68" s="19" t="s">
        <v>404</v>
      </c>
      <c r="O68" s="17" t="s">
        <v>405</v>
      </c>
      <c r="P68" s="17" t="s">
        <v>418</v>
      </c>
      <c r="Q68" s="19" t="s">
        <v>347</v>
      </c>
      <c r="R68" s="17" t="s">
        <v>419</v>
      </c>
    </row>
    <row r="69" customFormat="false" ht="78" hidden="false" customHeight="true" outlineLevel="0" collapsed="false">
      <c r="D69" s="17" t="s">
        <v>420</v>
      </c>
      <c r="E69" s="18"/>
      <c r="F69" s="17" t="s">
        <v>421</v>
      </c>
      <c r="G69" s="19" t="s">
        <v>397</v>
      </c>
      <c r="H69" s="19" t="n">
        <v>300</v>
      </c>
      <c r="I69" s="19" t="s">
        <v>187</v>
      </c>
      <c r="J69" s="20" t="s">
        <v>73</v>
      </c>
      <c r="K69" s="20"/>
      <c r="L69" s="19" t="s">
        <v>74</v>
      </c>
      <c r="M69" s="21"/>
      <c r="N69" s="19" t="s">
        <v>404</v>
      </c>
      <c r="O69" s="17" t="s">
        <v>405</v>
      </c>
      <c r="P69" s="17" t="s">
        <v>422</v>
      </c>
      <c r="Q69" s="19" t="s">
        <v>347</v>
      </c>
      <c r="R69" s="17" t="s">
        <v>423</v>
      </c>
    </row>
    <row r="70" customFormat="false" ht="78" hidden="false" customHeight="true" outlineLevel="0" collapsed="false">
      <c r="D70" s="17" t="s">
        <v>424</v>
      </c>
      <c r="E70" s="18"/>
      <c r="F70" s="17" t="s">
        <v>425</v>
      </c>
      <c r="G70" s="19" t="s">
        <v>397</v>
      </c>
      <c r="H70" s="19" t="n">
        <v>300</v>
      </c>
      <c r="I70" s="19" t="s">
        <v>187</v>
      </c>
      <c r="J70" s="20" t="s">
        <v>73</v>
      </c>
      <c r="K70" s="20"/>
      <c r="L70" s="19" t="s">
        <v>74</v>
      </c>
      <c r="M70" s="21"/>
      <c r="N70" s="19" t="s">
        <v>404</v>
      </c>
      <c r="O70" s="17" t="s">
        <v>405</v>
      </c>
      <c r="P70" s="17" t="s">
        <v>426</v>
      </c>
      <c r="Q70" s="19" t="s">
        <v>347</v>
      </c>
      <c r="R70" s="17" t="s">
        <v>427</v>
      </c>
    </row>
    <row r="71" customFormat="false" ht="78" hidden="false" customHeight="true" outlineLevel="0" collapsed="false">
      <c r="D71" s="17" t="s">
        <v>428</v>
      </c>
      <c r="E71" s="18"/>
      <c r="F71" s="17" t="s">
        <v>429</v>
      </c>
      <c r="G71" s="19" t="s">
        <v>397</v>
      </c>
      <c r="H71" s="19" t="n">
        <v>300</v>
      </c>
      <c r="I71" s="19" t="s">
        <v>187</v>
      </c>
      <c r="J71" s="20" t="s">
        <v>73</v>
      </c>
      <c r="K71" s="20"/>
      <c r="L71" s="19" t="s">
        <v>74</v>
      </c>
      <c r="M71" s="21"/>
      <c r="N71" s="19" t="s">
        <v>404</v>
      </c>
      <c r="O71" s="17" t="s">
        <v>405</v>
      </c>
      <c r="P71" s="17" t="s">
        <v>430</v>
      </c>
      <c r="Q71" s="19" t="s">
        <v>347</v>
      </c>
      <c r="R71" s="17" t="s">
        <v>431</v>
      </c>
    </row>
    <row r="72" customFormat="false" ht="78" hidden="false" customHeight="true" outlineLevel="0" collapsed="false">
      <c r="D72" s="17" t="s">
        <v>432</v>
      </c>
      <c r="E72" s="18"/>
      <c r="F72" s="17" t="s">
        <v>433</v>
      </c>
      <c r="G72" s="19" t="s">
        <v>397</v>
      </c>
      <c r="H72" s="19" t="n">
        <v>300</v>
      </c>
      <c r="I72" s="19" t="s">
        <v>187</v>
      </c>
      <c r="J72" s="20" t="s">
        <v>73</v>
      </c>
      <c r="K72" s="20"/>
      <c r="L72" s="19" t="s">
        <v>74</v>
      </c>
      <c r="M72" s="21"/>
      <c r="N72" s="19" t="s">
        <v>404</v>
      </c>
      <c r="O72" s="17" t="s">
        <v>405</v>
      </c>
      <c r="P72" s="17" t="s">
        <v>434</v>
      </c>
      <c r="Q72" s="19" t="s">
        <v>347</v>
      </c>
      <c r="R72" s="17" t="s">
        <v>435</v>
      </c>
    </row>
    <row r="73" customFormat="false" ht="78" hidden="false" customHeight="true" outlineLevel="0" collapsed="false">
      <c r="D73" s="17" t="s">
        <v>436</v>
      </c>
      <c r="E73" s="18"/>
      <c r="F73" s="17" t="s">
        <v>437</v>
      </c>
      <c r="G73" s="19" t="s">
        <v>343</v>
      </c>
      <c r="H73" s="19" t="n">
        <v>300</v>
      </c>
      <c r="I73" s="19" t="s">
        <v>187</v>
      </c>
      <c r="J73" s="20" t="s">
        <v>73</v>
      </c>
      <c r="K73" s="20"/>
      <c r="L73" s="19" t="s">
        <v>74</v>
      </c>
      <c r="M73" s="21"/>
      <c r="N73" s="19" t="s">
        <v>438</v>
      </c>
      <c r="O73" s="17" t="s">
        <v>439</v>
      </c>
      <c r="P73" s="17" t="s">
        <v>440</v>
      </c>
      <c r="Q73" s="19" t="s">
        <v>347</v>
      </c>
      <c r="R73" s="17" t="s">
        <v>441</v>
      </c>
    </row>
    <row r="74" customFormat="false" ht="78" hidden="false" customHeight="true" outlineLevel="0" collapsed="false">
      <c r="D74" s="17" t="s">
        <v>442</v>
      </c>
      <c r="E74" s="18"/>
      <c r="F74" s="17" t="s">
        <v>443</v>
      </c>
      <c r="G74" s="19" t="s">
        <v>343</v>
      </c>
      <c r="H74" s="19" t="n">
        <v>300</v>
      </c>
      <c r="I74" s="19" t="s">
        <v>187</v>
      </c>
      <c r="J74" s="20" t="s">
        <v>73</v>
      </c>
      <c r="K74" s="20"/>
      <c r="L74" s="19" t="s">
        <v>74</v>
      </c>
      <c r="M74" s="21"/>
      <c r="N74" s="19" t="s">
        <v>438</v>
      </c>
      <c r="O74" s="17" t="s">
        <v>439</v>
      </c>
      <c r="P74" s="17" t="s">
        <v>444</v>
      </c>
      <c r="Q74" s="19" t="s">
        <v>347</v>
      </c>
      <c r="R74" s="17" t="s">
        <v>445</v>
      </c>
    </row>
    <row r="75" customFormat="false" ht="78" hidden="false" customHeight="true" outlineLevel="0" collapsed="false">
      <c r="D75" s="17" t="s">
        <v>446</v>
      </c>
      <c r="E75" s="18"/>
      <c r="F75" s="17" t="s">
        <v>447</v>
      </c>
      <c r="G75" s="19" t="s">
        <v>343</v>
      </c>
      <c r="H75" s="19" t="n">
        <v>300</v>
      </c>
      <c r="I75" s="19" t="s">
        <v>187</v>
      </c>
      <c r="J75" s="20" t="s">
        <v>73</v>
      </c>
      <c r="K75" s="20"/>
      <c r="L75" s="19" t="s">
        <v>74</v>
      </c>
      <c r="M75" s="21"/>
      <c r="N75" s="19" t="s">
        <v>438</v>
      </c>
      <c r="O75" s="17" t="s">
        <v>439</v>
      </c>
      <c r="P75" s="17" t="s">
        <v>448</v>
      </c>
      <c r="Q75" s="19" t="s">
        <v>347</v>
      </c>
      <c r="R75" s="17" t="s">
        <v>449</v>
      </c>
    </row>
    <row r="76" customFormat="false" ht="78" hidden="false" customHeight="true" outlineLevel="0" collapsed="false">
      <c r="D76" s="17" t="s">
        <v>450</v>
      </c>
      <c r="E76" s="18"/>
      <c r="F76" s="17" t="s">
        <v>451</v>
      </c>
      <c r="G76" s="19" t="s">
        <v>343</v>
      </c>
      <c r="H76" s="19" t="n">
        <v>300</v>
      </c>
      <c r="I76" s="19" t="s">
        <v>187</v>
      </c>
      <c r="J76" s="20" t="s">
        <v>73</v>
      </c>
      <c r="K76" s="20"/>
      <c r="L76" s="19" t="s">
        <v>74</v>
      </c>
      <c r="M76" s="21"/>
      <c r="N76" s="19" t="s">
        <v>438</v>
      </c>
      <c r="O76" s="17" t="s">
        <v>439</v>
      </c>
      <c r="P76" s="17" t="s">
        <v>452</v>
      </c>
      <c r="Q76" s="19" t="s">
        <v>347</v>
      </c>
      <c r="R76" s="17" t="s">
        <v>453</v>
      </c>
    </row>
    <row r="77" customFormat="false" ht="19.5" hidden="false" customHeight="true" outlineLevel="0" collapsed="false">
      <c r="D77" s="14" t="s">
        <v>454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customFormat="false" ht="78" hidden="false" customHeight="true" outlineLevel="0" collapsed="false">
      <c r="D78" s="17" t="s">
        <v>455</v>
      </c>
      <c r="E78" s="18"/>
      <c r="F78" s="17" t="s">
        <v>456</v>
      </c>
      <c r="G78" s="19" t="s">
        <v>457</v>
      </c>
      <c r="H78" s="19" t="n">
        <v>300</v>
      </c>
      <c r="I78" s="19" t="s">
        <v>21</v>
      </c>
      <c r="J78" s="20" t="s">
        <v>73</v>
      </c>
      <c r="K78" s="20"/>
      <c r="L78" s="19" t="s">
        <v>74</v>
      </c>
      <c r="M78" s="21"/>
      <c r="N78" s="19" t="s">
        <v>458</v>
      </c>
      <c r="O78" s="17" t="s">
        <v>459</v>
      </c>
      <c r="P78" s="17" t="s">
        <v>460</v>
      </c>
      <c r="Q78" s="19" t="s">
        <v>78</v>
      </c>
      <c r="R78" s="17" t="s">
        <v>461</v>
      </c>
    </row>
    <row r="79" customFormat="false" ht="78" hidden="false" customHeight="true" outlineLevel="0" collapsed="false">
      <c r="D79" s="17" t="s">
        <v>462</v>
      </c>
      <c r="E79" s="18"/>
      <c r="F79" s="17" t="s">
        <v>463</v>
      </c>
      <c r="G79" s="19" t="s">
        <v>457</v>
      </c>
      <c r="H79" s="19" t="n">
        <v>300</v>
      </c>
      <c r="I79" s="19" t="s">
        <v>21</v>
      </c>
      <c r="J79" s="20" t="s">
        <v>73</v>
      </c>
      <c r="K79" s="20"/>
      <c r="L79" s="19" t="s">
        <v>74</v>
      </c>
      <c r="M79" s="21"/>
      <c r="N79" s="19" t="s">
        <v>464</v>
      </c>
      <c r="O79" s="17" t="s">
        <v>465</v>
      </c>
      <c r="P79" s="17" t="s">
        <v>466</v>
      </c>
      <c r="Q79" s="19" t="s">
        <v>78</v>
      </c>
      <c r="R79" s="17" t="s">
        <v>467</v>
      </c>
    </row>
    <row r="80" customFormat="false" ht="78" hidden="false" customHeight="true" outlineLevel="0" collapsed="false">
      <c r="D80" s="17" t="s">
        <v>468</v>
      </c>
      <c r="E80" s="22" t="s">
        <v>230</v>
      </c>
      <c r="F80" s="17" t="s">
        <v>469</v>
      </c>
      <c r="G80" s="19" t="s">
        <v>470</v>
      </c>
      <c r="H80" s="19" t="n">
        <v>300</v>
      </c>
      <c r="I80" s="19" t="s">
        <v>21</v>
      </c>
      <c r="J80" s="20" t="s">
        <v>73</v>
      </c>
      <c r="K80" s="20"/>
      <c r="L80" s="19" t="s">
        <v>74</v>
      </c>
      <c r="M80" s="21"/>
      <c r="N80" s="19" t="s">
        <v>471</v>
      </c>
      <c r="O80" s="17" t="s">
        <v>472</v>
      </c>
      <c r="P80" s="17" t="s">
        <v>473</v>
      </c>
      <c r="Q80" s="19" t="s">
        <v>115</v>
      </c>
      <c r="R80" s="17" t="s">
        <v>474</v>
      </c>
    </row>
    <row r="81" customFormat="false" ht="78" hidden="false" customHeight="true" outlineLevel="0" collapsed="false">
      <c r="D81" s="17" t="s">
        <v>475</v>
      </c>
      <c r="E81" s="18"/>
      <c r="F81" s="17" t="s">
        <v>476</v>
      </c>
      <c r="G81" s="19" t="s">
        <v>477</v>
      </c>
      <c r="H81" s="19" t="n">
        <v>300</v>
      </c>
      <c r="I81" s="19" t="s">
        <v>21</v>
      </c>
      <c r="J81" s="20" t="s">
        <v>73</v>
      </c>
      <c r="K81" s="20"/>
      <c r="L81" s="19" t="s">
        <v>74</v>
      </c>
      <c r="M81" s="21"/>
      <c r="N81" s="19" t="s">
        <v>478</v>
      </c>
      <c r="O81" s="17" t="s">
        <v>479</v>
      </c>
      <c r="P81" s="17" t="s">
        <v>480</v>
      </c>
      <c r="Q81" s="19" t="s">
        <v>115</v>
      </c>
      <c r="R81" s="17" t="s">
        <v>481</v>
      </c>
    </row>
    <row r="82" customFormat="false" ht="78" hidden="false" customHeight="true" outlineLevel="0" collapsed="false">
      <c r="D82" s="17" t="s">
        <v>482</v>
      </c>
      <c r="E82" s="18"/>
      <c r="F82" s="17" t="s">
        <v>483</v>
      </c>
      <c r="G82" s="19" t="s">
        <v>477</v>
      </c>
      <c r="H82" s="19" t="n">
        <v>300</v>
      </c>
      <c r="I82" s="19" t="s">
        <v>21</v>
      </c>
      <c r="J82" s="20" t="s">
        <v>73</v>
      </c>
      <c r="K82" s="20"/>
      <c r="L82" s="19" t="s">
        <v>74</v>
      </c>
      <c r="M82" s="21"/>
      <c r="N82" s="19" t="s">
        <v>484</v>
      </c>
      <c r="O82" s="17" t="s">
        <v>485</v>
      </c>
      <c r="P82" s="17" t="s">
        <v>486</v>
      </c>
      <c r="Q82" s="19" t="s">
        <v>115</v>
      </c>
      <c r="R82" s="17" t="s">
        <v>487</v>
      </c>
    </row>
    <row r="83" customFormat="false" ht="78" hidden="false" customHeight="true" outlineLevel="0" collapsed="false">
      <c r="D83" s="17" t="s">
        <v>488</v>
      </c>
      <c r="E83" s="18"/>
      <c r="F83" s="17" t="s">
        <v>489</v>
      </c>
      <c r="G83" s="19" t="s">
        <v>477</v>
      </c>
      <c r="H83" s="19" t="n">
        <v>300</v>
      </c>
      <c r="I83" s="19" t="s">
        <v>21</v>
      </c>
      <c r="J83" s="20" t="s">
        <v>73</v>
      </c>
      <c r="K83" s="20"/>
      <c r="L83" s="19" t="s">
        <v>74</v>
      </c>
      <c r="M83" s="21"/>
      <c r="N83" s="19" t="s">
        <v>490</v>
      </c>
      <c r="O83" s="17" t="s">
        <v>491</v>
      </c>
      <c r="P83" s="17" t="s">
        <v>492</v>
      </c>
      <c r="Q83" s="19" t="s">
        <v>347</v>
      </c>
      <c r="R83" s="17" t="s">
        <v>493</v>
      </c>
    </row>
    <row r="84" customFormat="false" ht="78" hidden="false" customHeight="true" outlineLevel="0" collapsed="false">
      <c r="D84" s="17" t="s">
        <v>494</v>
      </c>
      <c r="E84" s="18"/>
      <c r="F84" s="17" t="s">
        <v>495</v>
      </c>
      <c r="G84" s="19" t="s">
        <v>496</v>
      </c>
      <c r="H84" s="19" t="n">
        <v>300</v>
      </c>
      <c r="I84" s="19" t="s">
        <v>120</v>
      </c>
      <c r="J84" s="20" t="s">
        <v>73</v>
      </c>
      <c r="K84" s="20"/>
      <c r="L84" s="19" t="s">
        <v>74</v>
      </c>
      <c r="M84" s="21"/>
      <c r="N84" s="19" t="s">
        <v>497</v>
      </c>
      <c r="O84" s="17" t="s">
        <v>498</v>
      </c>
      <c r="P84" s="17" t="s">
        <v>499</v>
      </c>
      <c r="Q84" s="19" t="s">
        <v>115</v>
      </c>
      <c r="R84" s="17" t="s">
        <v>500</v>
      </c>
    </row>
    <row r="85" customFormat="false" ht="78" hidden="false" customHeight="true" outlineLevel="0" collapsed="false">
      <c r="D85" s="17" t="s">
        <v>501</v>
      </c>
      <c r="E85" s="18"/>
      <c r="F85" s="17" t="s">
        <v>502</v>
      </c>
      <c r="G85" s="19" t="s">
        <v>496</v>
      </c>
      <c r="H85" s="19" t="n">
        <v>300</v>
      </c>
      <c r="I85" s="19" t="s">
        <v>120</v>
      </c>
      <c r="J85" s="20" t="s">
        <v>73</v>
      </c>
      <c r="K85" s="20"/>
      <c r="L85" s="19" t="s">
        <v>74</v>
      </c>
      <c r="M85" s="21"/>
      <c r="N85" s="19" t="s">
        <v>497</v>
      </c>
      <c r="O85" s="17" t="s">
        <v>503</v>
      </c>
      <c r="P85" s="17" t="s">
        <v>504</v>
      </c>
      <c r="Q85" s="19" t="s">
        <v>115</v>
      </c>
      <c r="R85" s="17" t="s">
        <v>505</v>
      </c>
    </row>
    <row r="86" customFormat="false" ht="78" hidden="false" customHeight="true" outlineLevel="0" collapsed="false">
      <c r="D86" s="17" t="s">
        <v>506</v>
      </c>
      <c r="E86" s="18"/>
      <c r="F86" s="17" t="s">
        <v>507</v>
      </c>
      <c r="G86" s="19" t="s">
        <v>508</v>
      </c>
      <c r="H86" s="19" t="n">
        <v>300</v>
      </c>
      <c r="I86" s="19" t="s">
        <v>120</v>
      </c>
      <c r="J86" s="20" t="s">
        <v>73</v>
      </c>
      <c r="K86" s="20"/>
      <c r="L86" s="19" t="s">
        <v>74</v>
      </c>
      <c r="M86" s="21"/>
      <c r="N86" s="19" t="s">
        <v>509</v>
      </c>
      <c r="O86" s="17" t="s">
        <v>510</v>
      </c>
      <c r="P86" s="17" t="s">
        <v>511</v>
      </c>
      <c r="Q86" s="19" t="s">
        <v>115</v>
      </c>
      <c r="R86" s="17" t="s">
        <v>512</v>
      </c>
    </row>
    <row r="87" customFormat="false" ht="78" hidden="false" customHeight="true" outlineLevel="0" collapsed="false">
      <c r="D87" s="17" t="s">
        <v>513</v>
      </c>
      <c r="E87" s="18"/>
      <c r="F87" s="17" t="s">
        <v>514</v>
      </c>
      <c r="G87" s="19" t="s">
        <v>515</v>
      </c>
      <c r="H87" s="19" t="n">
        <v>300</v>
      </c>
      <c r="I87" s="19" t="s">
        <v>21</v>
      </c>
      <c r="J87" s="20" t="s">
        <v>73</v>
      </c>
      <c r="K87" s="20"/>
      <c r="L87" s="19" t="s">
        <v>74</v>
      </c>
      <c r="M87" s="21"/>
      <c r="N87" s="19" t="s">
        <v>516</v>
      </c>
      <c r="O87" s="17" t="s">
        <v>517</v>
      </c>
      <c r="P87" s="17" t="s">
        <v>518</v>
      </c>
      <c r="Q87" s="19" t="s">
        <v>347</v>
      </c>
      <c r="R87" s="17" t="s">
        <v>519</v>
      </c>
    </row>
    <row r="88" customFormat="false" ht="78" hidden="false" customHeight="true" outlineLevel="0" collapsed="false">
      <c r="D88" s="17" t="s">
        <v>520</v>
      </c>
      <c r="E88" s="18"/>
      <c r="F88" s="17" t="s">
        <v>521</v>
      </c>
      <c r="G88" s="19" t="s">
        <v>515</v>
      </c>
      <c r="H88" s="19" t="n">
        <v>300</v>
      </c>
      <c r="I88" s="19" t="s">
        <v>21</v>
      </c>
      <c r="J88" s="20" t="s">
        <v>73</v>
      </c>
      <c r="K88" s="20"/>
      <c r="L88" s="19" t="s">
        <v>74</v>
      </c>
      <c r="M88" s="21"/>
      <c r="N88" s="19" t="s">
        <v>522</v>
      </c>
      <c r="O88" s="17" t="s">
        <v>523</v>
      </c>
      <c r="P88" s="17" t="s">
        <v>524</v>
      </c>
      <c r="Q88" s="19" t="s">
        <v>347</v>
      </c>
      <c r="R88" s="17" t="s">
        <v>525</v>
      </c>
    </row>
    <row r="89" customFormat="false" ht="78" hidden="false" customHeight="true" outlineLevel="0" collapsed="false">
      <c r="D89" s="17" t="s">
        <v>526</v>
      </c>
      <c r="E89" s="18"/>
      <c r="F89" s="17" t="s">
        <v>527</v>
      </c>
      <c r="G89" s="19" t="s">
        <v>528</v>
      </c>
      <c r="H89" s="19" t="n">
        <v>300</v>
      </c>
      <c r="I89" s="19" t="s">
        <v>120</v>
      </c>
      <c r="J89" s="20" t="s">
        <v>73</v>
      </c>
      <c r="K89" s="20"/>
      <c r="L89" s="19" t="s">
        <v>74</v>
      </c>
      <c r="M89" s="21"/>
      <c r="N89" s="19" t="s">
        <v>529</v>
      </c>
      <c r="O89" s="17" t="s">
        <v>530</v>
      </c>
      <c r="P89" s="17" t="s">
        <v>531</v>
      </c>
      <c r="Q89" s="19" t="s">
        <v>115</v>
      </c>
      <c r="R89" s="17" t="s">
        <v>532</v>
      </c>
    </row>
    <row r="90" customFormat="false" ht="78" hidden="false" customHeight="true" outlineLevel="0" collapsed="false">
      <c r="D90" s="17" t="s">
        <v>533</v>
      </c>
      <c r="E90" s="18"/>
      <c r="F90" s="17" t="s">
        <v>534</v>
      </c>
      <c r="G90" s="19" t="s">
        <v>528</v>
      </c>
      <c r="H90" s="19" t="n">
        <v>300</v>
      </c>
      <c r="I90" s="19" t="s">
        <v>120</v>
      </c>
      <c r="J90" s="20" t="s">
        <v>73</v>
      </c>
      <c r="K90" s="20"/>
      <c r="L90" s="19" t="s">
        <v>74</v>
      </c>
      <c r="M90" s="21"/>
      <c r="N90" s="19" t="s">
        <v>529</v>
      </c>
      <c r="O90" s="17" t="s">
        <v>535</v>
      </c>
      <c r="P90" s="17" t="s">
        <v>536</v>
      </c>
      <c r="Q90" s="19" t="s">
        <v>115</v>
      </c>
      <c r="R90" s="17" t="s">
        <v>537</v>
      </c>
    </row>
    <row r="91" customFormat="false" ht="78" hidden="false" customHeight="true" outlineLevel="0" collapsed="false">
      <c r="D91" s="17" t="s">
        <v>538</v>
      </c>
      <c r="E91" s="18"/>
      <c r="F91" s="17" t="s">
        <v>539</v>
      </c>
      <c r="G91" s="19" t="s">
        <v>540</v>
      </c>
      <c r="H91" s="19" t="n">
        <v>300</v>
      </c>
      <c r="I91" s="19" t="s">
        <v>21</v>
      </c>
      <c r="J91" s="20" t="s">
        <v>73</v>
      </c>
      <c r="K91" s="20"/>
      <c r="L91" s="19" t="s">
        <v>74</v>
      </c>
      <c r="M91" s="21"/>
      <c r="N91" s="19" t="s">
        <v>541</v>
      </c>
      <c r="O91" s="17" t="s">
        <v>542</v>
      </c>
      <c r="P91" s="17" t="s">
        <v>543</v>
      </c>
      <c r="Q91" s="19" t="s">
        <v>115</v>
      </c>
      <c r="R91" s="17" t="s">
        <v>544</v>
      </c>
    </row>
    <row r="92" customFormat="false" ht="78" hidden="false" customHeight="true" outlineLevel="0" collapsed="false">
      <c r="D92" s="17" t="s">
        <v>545</v>
      </c>
      <c r="E92" s="18"/>
      <c r="F92" s="17" t="s">
        <v>546</v>
      </c>
      <c r="G92" s="19" t="s">
        <v>540</v>
      </c>
      <c r="H92" s="19" t="n">
        <v>300</v>
      </c>
      <c r="I92" s="19" t="s">
        <v>21</v>
      </c>
      <c r="J92" s="20" t="s">
        <v>73</v>
      </c>
      <c r="K92" s="20"/>
      <c r="L92" s="19" t="s">
        <v>74</v>
      </c>
      <c r="M92" s="21"/>
      <c r="N92" s="19" t="s">
        <v>541</v>
      </c>
      <c r="O92" s="17" t="s">
        <v>547</v>
      </c>
      <c r="P92" s="17" t="s">
        <v>548</v>
      </c>
      <c r="Q92" s="19" t="s">
        <v>115</v>
      </c>
      <c r="R92" s="17" t="s">
        <v>130</v>
      </c>
    </row>
    <row r="93" customFormat="false" ht="78" hidden="false" customHeight="true" outlineLevel="0" collapsed="false">
      <c r="D93" s="17" t="s">
        <v>549</v>
      </c>
      <c r="E93" s="18"/>
      <c r="F93" s="17" t="s">
        <v>550</v>
      </c>
      <c r="G93" s="19" t="s">
        <v>551</v>
      </c>
      <c r="H93" s="19" t="n">
        <v>300</v>
      </c>
      <c r="I93" s="19" t="s">
        <v>21</v>
      </c>
      <c r="J93" s="20" t="s">
        <v>73</v>
      </c>
      <c r="K93" s="20"/>
      <c r="L93" s="19" t="s">
        <v>74</v>
      </c>
      <c r="M93" s="21"/>
      <c r="N93" s="19" t="s">
        <v>552</v>
      </c>
      <c r="O93" s="17" t="s">
        <v>553</v>
      </c>
      <c r="P93" s="17" t="s">
        <v>554</v>
      </c>
      <c r="Q93" s="19" t="s">
        <v>115</v>
      </c>
      <c r="R93" s="17" t="s">
        <v>555</v>
      </c>
    </row>
    <row r="94" customFormat="false" ht="78" hidden="false" customHeight="true" outlineLevel="0" collapsed="false">
      <c r="D94" s="17" t="s">
        <v>556</v>
      </c>
      <c r="E94" s="18"/>
      <c r="F94" s="17" t="s">
        <v>557</v>
      </c>
      <c r="G94" s="19" t="s">
        <v>558</v>
      </c>
      <c r="H94" s="19" t="n">
        <v>300</v>
      </c>
      <c r="I94" s="19" t="s">
        <v>21</v>
      </c>
      <c r="J94" s="20" t="s">
        <v>73</v>
      </c>
      <c r="K94" s="20"/>
      <c r="L94" s="19" t="s">
        <v>74</v>
      </c>
      <c r="M94" s="21"/>
      <c r="N94" s="19" t="s">
        <v>559</v>
      </c>
      <c r="O94" s="17" t="s">
        <v>560</v>
      </c>
      <c r="P94" s="17" t="s">
        <v>561</v>
      </c>
      <c r="Q94" s="19" t="s">
        <v>115</v>
      </c>
      <c r="R94" s="17" t="s">
        <v>562</v>
      </c>
    </row>
    <row r="95" customFormat="false" ht="78" hidden="false" customHeight="true" outlineLevel="0" collapsed="false">
      <c r="D95" s="17" t="s">
        <v>563</v>
      </c>
      <c r="E95" s="18"/>
      <c r="F95" s="17" t="s">
        <v>564</v>
      </c>
      <c r="G95" s="19" t="s">
        <v>457</v>
      </c>
      <c r="H95" s="19" t="n">
        <v>300</v>
      </c>
      <c r="I95" s="19" t="s">
        <v>21</v>
      </c>
      <c r="J95" s="20" t="s">
        <v>73</v>
      </c>
      <c r="K95" s="20"/>
      <c r="L95" s="19" t="s">
        <v>74</v>
      </c>
      <c r="M95" s="21"/>
      <c r="N95" s="19" t="s">
        <v>565</v>
      </c>
      <c r="O95" s="17" t="s">
        <v>566</v>
      </c>
      <c r="P95" s="17" t="s">
        <v>567</v>
      </c>
      <c r="Q95" s="19" t="s">
        <v>115</v>
      </c>
      <c r="R95" s="17" t="s">
        <v>568</v>
      </c>
    </row>
    <row r="96" customFormat="false" ht="78" hidden="false" customHeight="true" outlineLevel="0" collapsed="false">
      <c r="D96" s="17" t="s">
        <v>569</v>
      </c>
      <c r="E96" s="18"/>
      <c r="F96" s="17" t="s">
        <v>570</v>
      </c>
      <c r="G96" s="19" t="s">
        <v>571</v>
      </c>
      <c r="H96" s="19" t="n">
        <v>300</v>
      </c>
      <c r="I96" s="19" t="s">
        <v>21</v>
      </c>
      <c r="J96" s="20" t="s">
        <v>73</v>
      </c>
      <c r="K96" s="20"/>
      <c r="L96" s="19" t="s">
        <v>74</v>
      </c>
      <c r="M96" s="21"/>
      <c r="N96" s="19" t="s">
        <v>572</v>
      </c>
      <c r="O96" s="17" t="s">
        <v>573</v>
      </c>
      <c r="P96" s="17" t="s">
        <v>574</v>
      </c>
      <c r="Q96" s="19" t="s">
        <v>78</v>
      </c>
      <c r="R96" s="17" t="s">
        <v>575</v>
      </c>
    </row>
    <row r="97" customFormat="false" ht="78" hidden="false" customHeight="true" outlineLevel="0" collapsed="false">
      <c r="D97" s="17" t="s">
        <v>576</v>
      </c>
      <c r="E97" s="18"/>
      <c r="F97" s="17" t="s">
        <v>577</v>
      </c>
      <c r="G97" s="19" t="s">
        <v>578</v>
      </c>
      <c r="H97" s="19" t="n">
        <v>300</v>
      </c>
      <c r="I97" s="19" t="s">
        <v>21</v>
      </c>
      <c r="J97" s="20" t="s">
        <v>73</v>
      </c>
      <c r="K97" s="20"/>
      <c r="L97" s="19" t="s">
        <v>74</v>
      </c>
      <c r="M97" s="21"/>
      <c r="N97" s="19" t="s">
        <v>579</v>
      </c>
      <c r="O97" s="17" t="s">
        <v>580</v>
      </c>
      <c r="P97" s="17" t="s">
        <v>581</v>
      </c>
      <c r="Q97" s="19" t="s">
        <v>115</v>
      </c>
      <c r="R97" s="17" t="s">
        <v>582</v>
      </c>
    </row>
    <row r="98" customFormat="false" ht="78" hidden="false" customHeight="true" outlineLevel="0" collapsed="false">
      <c r="D98" s="17" t="s">
        <v>583</v>
      </c>
      <c r="E98" s="18"/>
      <c r="F98" s="17" t="s">
        <v>584</v>
      </c>
      <c r="G98" s="19" t="s">
        <v>578</v>
      </c>
      <c r="H98" s="19" t="n">
        <v>300</v>
      </c>
      <c r="I98" s="19" t="s">
        <v>21</v>
      </c>
      <c r="J98" s="20" t="s">
        <v>73</v>
      </c>
      <c r="K98" s="20"/>
      <c r="L98" s="19" t="s">
        <v>74</v>
      </c>
      <c r="M98" s="21"/>
      <c r="N98" s="19" t="s">
        <v>579</v>
      </c>
      <c r="O98" s="17" t="s">
        <v>585</v>
      </c>
      <c r="P98" s="17" t="s">
        <v>586</v>
      </c>
      <c r="Q98" s="19" t="s">
        <v>115</v>
      </c>
      <c r="R98" s="17" t="s">
        <v>587</v>
      </c>
    </row>
    <row r="99" customFormat="false" ht="78" hidden="false" customHeight="true" outlineLevel="0" collapsed="false">
      <c r="D99" s="17" t="s">
        <v>588</v>
      </c>
      <c r="E99" s="18"/>
      <c r="F99" s="17" t="s">
        <v>589</v>
      </c>
      <c r="G99" s="19" t="s">
        <v>457</v>
      </c>
      <c r="H99" s="19" t="n">
        <v>300</v>
      </c>
      <c r="I99" s="19" t="s">
        <v>21</v>
      </c>
      <c r="J99" s="20" t="s">
        <v>73</v>
      </c>
      <c r="K99" s="20"/>
      <c r="L99" s="19" t="s">
        <v>74</v>
      </c>
      <c r="M99" s="21"/>
      <c r="N99" s="19" t="s">
        <v>590</v>
      </c>
      <c r="O99" s="17" t="s">
        <v>591</v>
      </c>
      <c r="P99" s="17" t="s">
        <v>592</v>
      </c>
      <c r="Q99" s="19" t="s">
        <v>115</v>
      </c>
      <c r="R99" s="17" t="s">
        <v>593</v>
      </c>
    </row>
    <row r="100" customFormat="false" ht="78" hidden="false" customHeight="true" outlineLevel="0" collapsed="false">
      <c r="D100" s="17" t="s">
        <v>594</v>
      </c>
      <c r="E100" s="18"/>
      <c r="F100" s="17" t="s">
        <v>595</v>
      </c>
      <c r="G100" s="19" t="s">
        <v>457</v>
      </c>
      <c r="H100" s="19" t="n">
        <v>300</v>
      </c>
      <c r="I100" s="19" t="s">
        <v>21</v>
      </c>
      <c r="J100" s="20" t="s">
        <v>73</v>
      </c>
      <c r="K100" s="20"/>
      <c r="L100" s="19" t="s">
        <v>74</v>
      </c>
      <c r="M100" s="21"/>
      <c r="N100" s="19" t="s">
        <v>596</v>
      </c>
      <c r="O100" s="17" t="s">
        <v>597</v>
      </c>
      <c r="P100" s="17" t="s">
        <v>598</v>
      </c>
      <c r="Q100" s="19" t="s">
        <v>115</v>
      </c>
      <c r="R100" s="17" t="s">
        <v>599</v>
      </c>
    </row>
    <row r="101" customFormat="false" ht="78" hidden="false" customHeight="true" outlineLevel="0" collapsed="false">
      <c r="D101" s="17" t="s">
        <v>600</v>
      </c>
      <c r="E101" s="18"/>
      <c r="F101" s="17" t="s">
        <v>601</v>
      </c>
      <c r="G101" s="19" t="s">
        <v>602</v>
      </c>
      <c r="H101" s="19" t="n">
        <v>300</v>
      </c>
      <c r="I101" s="19" t="s">
        <v>172</v>
      </c>
      <c r="J101" s="20" t="s">
        <v>73</v>
      </c>
      <c r="K101" s="20"/>
      <c r="L101" s="19" t="s">
        <v>74</v>
      </c>
      <c r="M101" s="21"/>
      <c r="N101" s="19" t="s">
        <v>603</v>
      </c>
      <c r="O101" s="17" t="s">
        <v>604</v>
      </c>
      <c r="P101" s="17" t="s">
        <v>605</v>
      </c>
      <c r="Q101" s="19" t="s">
        <v>115</v>
      </c>
      <c r="R101" s="17" t="s">
        <v>606</v>
      </c>
    </row>
    <row r="102" customFormat="false" ht="78" hidden="false" customHeight="true" outlineLevel="0" collapsed="false">
      <c r="D102" s="17" t="s">
        <v>607</v>
      </c>
      <c r="E102" s="18"/>
      <c r="F102" s="17" t="s">
        <v>608</v>
      </c>
      <c r="G102" s="19" t="s">
        <v>602</v>
      </c>
      <c r="H102" s="19" t="n">
        <v>300</v>
      </c>
      <c r="I102" s="19" t="s">
        <v>172</v>
      </c>
      <c r="J102" s="20" t="s">
        <v>73</v>
      </c>
      <c r="K102" s="20"/>
      <c r="L102" s="19" t="s">
        <v>74</v>
      </c>
      <c r="M102" s="21"/>
      <c r="N102" s="19" t="s">
        <v>603</v>
      </c>
      <c r="O102" s="17" t="s">
        <v>609</v>
      </c>
      <c r="P102" s="17" t="s">
        <v>610</v>
      </c>
      <c r="Q102" s="19" t="s">
        <v>115</v>
      </c>
      <c r="R102" s="17" t="s">
        <v>611</v>
      </c>
    </row>
    <row r="103" customFormat="false" ht="78" hidden="false" customHeight="true" outlineLevel="0" collapsed="false">
      <c r="D103" s="17" t="s">
        <v>612</v>
      </c>
      <c r="E103" s="18"/>
      <c r="F103" s="17" t="s">
        <v>613</v>
      </c>
      <c r="G103" s="19" t="s">
        <v>614</v>
      </c>
      <c r="H103" s="19" t="n">
        <v>300</v>
      </c>
      <c r="I103" s="19" t="s">
        <v>120</v>
      </c>
      <c r="J103" s="20" t="s">
        <v>73</v>
      </c>
      <c r="K103" s="20"/>
      <c r="L103" s="19" t="s">
        <v>74</v>
      </c>
      <c r="M103" s="21"/>
      <c r="N103" s="19" t="s">
        <v>615</v>
      </c>
      <c r="O103" s="17" t="s">
        <v>616</v>
      </c>
      <c r="P103" s="17" t="s">
        <v>617</v>
      </c>
      <c r="Q103" s="19" t="s">
        <v>347</v>
      </c>
      <c r="R103" s="17" t="s">
        <v>618</v>
      </c>
    </row>
    <row r="104" customFormat="false" ht="78" hidden="false" customHeight="true" outlineLevel="0" collapsed="false">
      <c r="D104" s="17" t="s">
        <v>619</v>
      </c>
      <c r="E104" s="18"/>
      <c r="F104" s="17" t="s">
        <v>620</v>
      </c>
      <c r="G104" s="19" t="s">
        <v>621</v>
      </c>
      <c r="H104" s="19" t="n">
        <v>300</v>
      </c>
      <c r="I104" s="19" t="s">
        <v>172</v>
      </c>
      <c r="J104" s="20" t="s">
        <v>73</v>
      </c>
      <c r="K104" s="20"/>
      <c r="L104" s="19" t="s">
        <v>74</v>
      </c>
      <c r="M104" s="21"/>
      <c r="N104" s="19" t="s">
        <v>622</v>
      </c>
      <c r="O104" s="17" t="s">
        <v>623</v>
      </c>
      <c r="P104" s="17" t="s">
        <v>624</v>
      </c>
      <c r="Q104" s="19" t="s">
        <v>115</v>
      </c>
      <c r="R104" s="17" t="s">
        <v>625</v>
      </c>
    </row>
    <row r="105" customFormat="false" ht="78" hidden="false" customHeight="true" outlineLevel="0" collapsed="false">
      <c r="D105" s="17" t="s">
        <v>626</v>
      </c>
      <c r="E105" s="18"/>
      <c r="F105" s="17" t="s">
        <v>627</v>
      </c>
      <c r="G105" s="19" t="s">
        <v>628</v>
      </c>
      <c r="H105" s="19" t="n">
        <v>300</v>
      </c>
      <c r="I105" s="19" t="s">
        <v>172</v>
      </c>
      <c r="J105" s="20" t="s">
        <v>73</v>
      </c>
      <c r="K105" s="20"/>
      <c r="L105" s="19" t="s">
        <v>74</v>
      </c>
      <c r="M105" s="21"/>
      <c r="N105" s="19" t="s">
        <v>629</v>
      </c>
      <c r="O105" s="17" t="s">
        <v>630</v>
      </c>
      <c r="P105" s="17" t="s">
        <v>631</v>
      </c>
      <c r="Q105" s="19" t="s">
        <v>347</v>
      </c>
      <c r="R105" s="17" t="s">
        <v>632</v>
      </c>
    </row>
    <row r="106" customFormat="false" ht="19.5" hidden="false" customHeight="true" outlineLevel="0" collapsed="false">
      <c r="D106" s="14" t="s">
        <v>633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customFormat="false" ht="78" hidden="false" customHeight="true" outlineLevel="0" collapsed="false">
      <c r="D107" s="17" t="s">
        <v>634</v>
      </c>
      <c r="E107" s="18"/>
      <c r="F107" s="17" t="s">
        <v>635</v>
      </c>
      <c r="G107" s="19" t="s">
        <v>636</v>
      </c>
      <c r="H107" s="19" t="n">
        <v>300</v>
      </c>
      <c r="I107" s="19" t="s">
        <v>637</v>
      </c>
      <c r="J107" s="20" t="s">
        <v>73</v>
      </c>
      <c r="K107" s="20"/>
      <c r="L107" s="19" t="s">
        <v>74</v>
      </c>
      <c r="M107" s="21"/>
      <c r="N107" s="19" t="s">
        <v>638</v>
      </c>
      <c r="O107" s="17" t="s">
        <v>639</v>
      </c>
      <c r="P107" s="17" t="s">
        <v>640</v>
      </c>
      <c r="Q107" s="19" t="s">
        <v>78</v>
      </c>
      <c r="R107" s="17" t="s">
        <v>641</v>
      </c>
    </row>
    <row r="108" customFormat="false" ht="78" hidden="false" customHeight="true" outlineLevel="0" collapsed="false">
      <c r="D108" s="17" t="s">
        <v>642</v>
      </c>
      <c r="E108" s="18"/>
      <c r="F108" s="17" t="s">
        <v>643</v>
      </c>
      <c r="G108" s="19" t="s">
        <v>644</v>
      </c>
      <c r="H108" s="19" t="n">
        <v>300</v>
      </c>
      <c r="I108" s="19" t="s">
        <v>172</v>
      </c>
      <c r="J108" s="20" t="s">
        <v>73</v>
      </c>
      <c r="K108" s="20"/>
      <c r="L108" s="19" t="s">
        <v>74</v>
      </c>
      <c r="M108" s="21"/>
      <c r="N108" s="19" t="s">
        <v>645</v>
      </c>
      <c r="O108" s="17" t="s">
        <v>646</v>
      </c>
      <c r="P108" s="17" t="s">
        <v>647</v>
      </c>
      <c r="Q108" s="19" t="s">
        <v>78</v>
      </c>
      <c r="R108" s="17" t="s">
        <v>648</v>
      </c>
    </row>
    <row r="109" customFormat="false" ht="78" hidden="false" customHeight="true" outlineLevel="0" collapsed="false">
      <c r="D109" s="17" t="s">
        <v>649</v>
      </c>
      <c r="E109" s="18"/>
      <c r="F109" s="17" t="s">
        <v>650</v>
      </c>
      <c r="G109" s="19" t="s">
        <v>644</v>
      </c>
      <c r="H109" s="19" t="n">
        <v>300</v>
      </c>
      <c r="I109" s="19" t="s">
        <v>172</v>
      </c>
      <c r="J109" s="20" t="s">
        <v>73</v>
      </c>
      <c r="K109" s="20"/>
      <c r="L109" s="19" t="s">
        <v>74</v>
      </c>
      <c r="M109" s="21"/>
      <c r="N109" s="19" t="s">
        <v>645</v>
      </c>
      <c r="O109" s="17" t="s">
        <v>651</v>
      </c>
      <c r="P109" s="17" t="s">
        <v>652</v>
      </c>
      <c r="Q109" s="19" t="s">
        <v>78</v>
      </c>
      <c r="R109" s="17" t="s">
        <v>653</v>
      </c>
    </row>
    <row r="110" customFormat="false" ht="78" hidden="false" customHeight="true" outlineLevel="0" collapsed="false">
      <c r="D110" s="17" t="s">
        <v>654</v>
      </c>
      <c r="E110" s="18"/>
      <c r="F110" s="17" t="s">
        <v>655</v>
      </c>
      <c r="G110" s="19" t="s">
        <v>656</v>
      </c>
      <c r="H110" s="19" t="n">
        <v>300</v>
      </c>
      <c r="I110" s="19" t="s">
        <v>172</v>
      </c>
      <c r="J110" s="20" t="s">
        <v>73</v>
      </c>
      <c r="K110" s="20"/>
      <c r="L110" s="19" t="s">
        <v>74</v>
      </c>
      <c r="M110" s="21"/>
      <c r="N110" s="19" t="s">
        <v>657</v>
      </c>
      <c r="O110" s="17" t="s">
        <v>658</v>
      </c>
      <c r="P110" s="17" t="s">
        <v>659</v>
      </c>
      <c r="Q110" s="19" t="s">
        <v>78</v>
      </c>
      <c r="R110" s="17" t="s">
        <v>660</v>
      </c>
    </row>
    <row r="111" customFormat="false" ht="78" hidden="false" customHeight="true" outlineLevel="0" collapsed="false">
      <c r="D111" s="17" t="s">
        <v>661</v>
      </c>
      <c r="E111" s="18"/>
      <c r="F111" s="17" t="s">
        <v>662</v>
      </c>
      <c r="G111" s="19" t="s">
        <v>663</v>
      </c>
      <c r="H111" s="19" t="n">
        <v>300</v>
      </c>
      <c r="I111" s="19" t="s">
        <v>172</v>
      </c>
      <c r="J111" s="20" t="s">
        <v>73</v>
      </c>
      <c r="K111" s="20"/>
      <c r="L111" s="19" t="s">
        <v>74</v>
      </c>
      <c r="M111" s="21"/>
      <c r="N111" s="19" t="s">
        <v>664</v>
      </c>
      <c r="O111" s="17" t="s">
        <v>665</v>
      </c>
      <c r="P111" s="17" t="s">
        <v>666</v>
      </c>
      <c r="Q111" s="19" t="s">
        <v>78</v>
      </c>
      <c r="R111" s="17" t="s">
        <v>667</v>
      </c>
    </row>
    <row r="112" customFormat="false" ht="78" hidden="false" customHeight="true" outlineLevel="0" collapsed="false">
      <c r="D112" s="17" t="s">
        <v>668</v>
      </c>
      <c r="E112" s="18"/>
      <c r="F112" s="17" t="s">
        <v>669</v>
      </c>
      <c r="G112" s="19" t="s">
        <v>670</v>
      </c>
      <c r="H112" s="19" t="n">
        <v>300</v>
      </c>
      <c r="I112" s="19" t="s">
        <v>187</v>
      </c>
      <c r="J112" s="20" t="s">
        <v>73</v>
      </c>
      <c r="K112" s="20"/>
      <c r="L112" s="19" t="s">
        <v>74</v>
      </c>
      <c r="M112" s="21"/>
      <c r="N112" s="19" t="s">
        <v>671</v>
      </c>
      <c r="O112" s="17" t="s">
        <v>665</v>
      </c>
      <c r="P112" s="17" t="s">
        <v>672</v>
      </c>
      <c r="Q112" s="19" t="s">
        <v>78</v>
      </c>
      <c r="R112" s="17" t="s">
        <v>673</v>
      </c>
    </row>
    <row r="113" customFormat="false" ht="78" hidden="false" customHeight="true" outlineLevel="0" collapsed="false">
      <c r="D113" s="17" t="s">
        <v>674</v>
      </c>
      <c r="E113" s="18"/>
      <c r="F113" s="17" t="s">
        <v>675</v>
      </c>
      <c r="G113" s="19" t="s">
        <v>676</v>
      </c>
      <c r="H113" s="19" t="n">
        <v>300</v>
      </c>
      <c r="I113" s="19" t="s">
        <v>120</v>
      </c>
      <c r="J113" s="20" t="s">
        <v>73</v>
      </c>
      <c r="K113" s="20"/>
      <c r="L113" s="19" t="s">
        <v>74</v>
      </c>
      <c r="M113" s="21"/>
      <c r="N113" s="19" t="s">
        <v>677</v>
      </c>
      <c r="O113" s="17" t="s">
        <v>678</v>
      </c>
      <c r="P113" s="17" t="s">
        <v>679</v>
      </c>
      <c r="Q113" s="19" t="s">
        <v>78</v>
      </c>
      <c r="R113" s="17" t="s">
        <v>680</v>
      </c>
    </row>
    <row r="114" customFormat="false" ht="78" hidden="false" customHeight="true" outlineLevel="0" collapsed="false">
      <c r="D114" s="17" t="s">
        <v>681</v>
      </c>
      <c r="E114" s="18"/>
      <c r="F114" s="17" t="s">
        <v>682</v>
      </c>
      <c r="G114" s="19" t="s">
        <v>683</v>
      </c>
      <c r="H114" s="19" t="n">
        <v>300</v>
      </c>
      <c r="I114" s="19" t="s">
        <v>120</v>
      </c>
      <c r="J114" s="20" t="s">
        <v>73</v>
      </c>
      <c r="K114" s="20"/>
      <c r="L114" s="19" t="s">
        <v>74</v>
      </c>
      <c r="M114" s="21"/>
      <c r="N114" s="19" t="s">
        <v>684</v>
      </c>
      <c r="O114" s="17" t="s">
        <v>685</v>
      </c>
      <c r="P114" s="17" t="s">
        <v>686</v>
      </c>
      <c r="Q114" s="19" t="s">
        <v>78</v>
      </c>
      <c r="R114" s="17" t="s">
        <v>687</v>
      </c>
    </row>
    <row r="115" customFormat="false" ht="78" hidden="false" customHeight="true" outlineLevel="0" collapsed="false">
      <c r="D115" s="17" t="s">
        <v>688</v>
      </c>
      <c r="E115" s="18"/>
      <c r="F115" s="17" t="s">
        <v>689</v>
      </c>
      <c r="G115" s="19" t="s">
        <v>690</v>
      </c>
      <c r="H115" s="19" t="n">
        <v>300</v>
      </c>
      <c r="I115" s="19" t="s">
        <v>172</v>
      </c>
      <c r="J115" s="20" t="s">
        <v>73</v>
      </c>
      <c r="K115" s="20"/>
      <c r="L115" s="19" t="s">
        <v>74</v>
      </c>
      <c r="M115" s="21"/>
      <c r="N115" s="19" t="s">
        <v>691</v>
      </c>
      <c r="O115" s="17" t="s">
        <v>692</v>
      </c>
      <c r="P115" s="17" t="s">
        <v>693</v>
      </c>
      <c r="Q115" s="19" t="s">
        <v>115</v>
      </c>
      <c r="R115" s="17" t="s">
        <v>694</v>
      </c>
    </row>
    <row r="116" customFormat="false" ht="78" hidden="false" customHeight="true" outlineLevel="0" collapsed="false">
      <c r="D116" s="17" t="s">
        <v>695</v>
      </c>
      <c r="E116" s="18"/>
      <c r="F116" s="17" t="s">
        <v>696</v>
      </c>
      <c r="G116" s="19" t="s">
        <v>697</v>
      </c>
      <c r="H116" s="19" t="n">
        <v>300</v>
      </c>
      <c r="I116" s="19" t="s">
        <v>120</v>
      </c>
      <c r="J116" s="20" t="s">
        <v>73</v>
      </c>
      <c r="K116" s="20"/>
      <c r="L116" s="19" t="s">
        <v>74</v>
      </c>
      <c r="M116" s="21"/>
      <c r="N116" s="19" t="s">
        <v>698</v>
      </c>
      <c r="O116" s="17" t="s">
        <v>699</v>
      </c>
      <c r="P116" s="17" t="s">
        <v>700</v>
      </c>
      <c r="Q116" s="19" t="s">
        <v>115</v>
      </c>
      <c r="R116" s="17" t="s">
        <v>701</v>
      </c>
    </row>
    <row r="117" customFormat="false" ht="78" hidden="false" customHeight="true" outlineLevel="0" collapsed="false">
      <c r="D117" s="17" t="s">
        <v>702</v>
      </c>
      <c r="E117" s="18"/>
      <c r="F117" s="17" t="s">
        <v>703</v>
      </c>
      <c r="G117" s="19" t="s">
        <v>704</v>
      </c>
      <c r="H117" s="19" t="n">
        <v>300</v>
      </c>
      <c r="I117" s="19" t="s">
        <v>120</v>
      </c>
      <c r="J117" s="20" t="s">
        <v>73</v>
      </c>
      <c r="K117" s="20"/>
      <c r="L117" s="19" t="s">
        <v>74</v>
      </c>
      <c r="M117" s="21"/>
      <c r="N117" s="19" t="s">
        <v>705</v>
      </c>
      <c r="O117" s="17" t="s">
        <v>706</v>
      </c>
      <c r="P117" s="17" t="s">
        <v>707</v>
      </c>
      <c r="Q117" s="19" t="s">
        <v>115</v>
      </c>
      <c r="R117" s="17" t="s">
        <v>708</v>
      </c>
    </row>
    <row r="118" customFormat="false" ht="78" hidden="false" customHeight="true" outlineLevel="0" collapsed="false">
      <c r="D118" s="17" t="s">
        <v>709</v>
      </c>
      <c r="E118" s="18"/>
      <c r="F118" s="17" t="s">
        <v>710</v>
      </c>
      <c r="G118" s="19" t="s">
        <v>711</v>
      </c>
      <c r="H118" s="19" t="n">
        <v>300</v>
      </c>
      <c r="I118" s="19" t="s">
        <v>637</v>
      </c>
      <c r="J118" s="20" t="s">
        <v>73</v>
      </c>
      <c r="K118" s="20"/>
      <c r="L118" s="19" t="s">
        <v>74</v>
      </c>
      <c r="M118" s="21"/>
      <c r="N118" s="19" t="s">
        <v>712</v>
      </c>
      <c r="O118" s="17" t="s">
        <v>713</v>
      </c>
      <c r="P118" s="17" t="s">
        <v>714</v>
      </c>
      <c r="Q118" s="19" t="s">
        <v>347</v>
      </c>
      <c r="R118" s="17" t="s">
        <v>715</v>
      </c>
    </row>
    <row r="119" customFormat="false" ht="78" hidden="false" customHeight="true" outlineLevel="0" collapsed="false">
      <c r="D119" s="17" t="s">
        <v>716</v>
      </c>
      <c r="E119" s="18"/>
      <c r="F119" s="17" t="s">
        <v>717</v>
      </c>
      <c r="G119" s="19" t="s">
        <v>718</v>
      </c>
      <c r="H119" s="19" t="n">
        <v>300</v>
      </c>
      <c r="I119" s="19" t="s">
        <v>172</v>
      </c>
      <c r="J119" s="20" t="s">
        <v>73</v>
      </c>
      <c r="K119" s="20"/>
      <c r="L119" s="19" t="s">
        <v>74</v>
      </c>
      <c r="M119" s="21"/>
      <c r="N119" s="19" t="s">
        <v>719</v>
      </c>
      <c r="O119" s="17" t="s">
        <v>720</v>
      </c>
      <c r="P119" s="17" t="s">
        <v>721</v>
      </c>
      <c r="Q119" s="19" t="s">
        <v>115</v>
      </c>
      <c r="R119" s="17" t="s">
        <v>722</v>
      </c>
    </row>
    <row r="120" customFormat="false" ht="78" hidden="false" customHeight="true" outlineLevel="0" collapsed="false">
      <c r="D120" s="17" t="s">
        <v>723</v>
      </c>
      <c r="E120" s="18"/>
      <c r="F120" s="17" t="s">
        <v>724</v>
      </c>
      <c r="G120" s="19" t="s">
        <v>391</v>
      </c>
      <c r="H120" s="19" t="n">
        <v>300</v>
      </c>
      <c r="I120" s="19" t="s">
        <v>187</v>
      </c>
      <c r="J120" s="20" t="s">
        <v>73</v>
      </c>
      <c r="K120" s="20"/>
      <c r="L120" s="19" t="s">
        <v>74</v>
      </c>
      <c r="M120" s="21"/>
      <c r="N120" s="19" t="s">
        <v>725</v>
      </c>
      <c r="O120" s="17" t="s">
        <v>726</v>
      </c>
      <c r="P120" s="17" t="s">
        <v>727</v>
      </c>
      <c r="Q120" s="19" t="s">
        <v>115</v>
      </c>
      <c r="R120" s="17" t="s">
        <v>728</v>
      </c>
    </row>
    <row r="121" customFormat="false" ht="78" hidden="false" customHeight="true" outlineLevel="0" collapsed="false">
      <c r="D121" s="17" t="s">
        <v>729</v>
      </c>
      <c r="E121" s="18"/>
      <c r="F121" s="17" t="s">
        <v>730</v>
      </c>
      <c r="G121" s="19" t="s">
        <v>397</v>
      </c>
      <c r="H121" s="19" t="n">
        <v>300</v>
      </c>
      <c r="I121" s="19" t="s">
        <v>187</v>
      </c>
      <c r="J121" s="20" t="s">
        <v>73</v>
      </c>
      <c r="K121" s="20"/>
      <c r="L121" s="19" t="s">
        <v>74</v>
      </c>
      <c r="M121" s="21"/>
      <c r="N121" s="19" t="s">
        <v>731</v>
      </c>
      <c r="O121" s="17" t="s">
        <v>726</v>
      </c>
      <c r="P121" s="17" t="s">
        <v>732</v>
      </c>
      <c r="Q121" s="19" t="s">
        <v>115</v>
      </c>
      <c r="R121" s="17" t="s">
        <v>733</v>
      </c>
    </row>
    <row r="122" customFormat="false" ht="78" hidden="false" customHeight="true" outlineLevel="0" collapsed="false">
      <c r="D122" s="17" t="s">
        <v>734</v>
      </c>
      <c r="E122" s="18"/>
      <c r="F122" s="17" t="s">
        <v>735</v>
      </c>
      <c r="G122" s="19" t="s">
        <v>736</v>
      </c>
      <c r="H122" s="19" t="n">
        <v>300</v>
      </c>
      <c r="I122" s="19" t="s">
        <v>120</v>
      </c>
      <c r="J122" s="20" t="s">
        <v>73</v>
      </c>
      <c r="K122" s="20"/>
      <c r="L122" s="19" t="s">
        <v>74</v>
      </c>
      <c r="M122" s="21"/>
      <c r="N122" s="19" t="s">
        <v>737</v>
      </c>
      <c r="O122" s="17" t="s">
        <v>738</v>
      </c>
      <c r="P122" s="17" t="s">
        <v>739</v>
      </c>
      <c r="Q122" s="19" t="s">
        <v>115</v>
      </c>
      <c r="R122" s="17" t="s">
        <v>740</v>
      </c>
    </row>
    <row r="123" customFormat="false" ht="78" hidden="false" customHeight="true" outlineLevel="0" collapsed="false">
      <c r="D123" s="17" t="s">
        <v>741</v>
      </c>
      <c r="E123" s="18"/>
      <c r="F123" s="17" t="s">
        <v>742</v>
      </c>
      <c r="G123" s="19" t="s">
        <v>736</v>
      </c>
      <c r="H123" s="19" t="n">
        <v>300</v>
      </c>
      <c r="I123" s="19" t="s">
        <v>120</v>
      </c>
      <c r="J123" s="20" t="s">
        <v>73</v>
      </c>
      <c r="K123" s="20"/>
      <c r="L123" s="19" t="s">
        <v>74</v>
      </c>
      <c r="M123" s="21"/>
      <c r="N123" s="19" t="s">
        <v>737</v>
      </c>
      <c r="O123" s="17" t="s">
        <v>738</v>
      </c>
      <c r="P123" s="17" t="s">
        <v>743</v>
      </c>
      <c r="Q123" s="19" t="s">
        <v>115</v>
      </c>
      <c r="R123" s="17" t="s">
        <v>744</v>
      </c>
    </row>
    <row r="124" customFormat="false" ht="78" hidden="false" customHeight="true" outlineLevel="0" collapsed="false">
      <c r="D124" s="17" t="s">
        <v>745</v>
      </c>
      <c r="E124" s="18"/>
      <c r="F124" s="17" t="s">
        <v>746</v>
      </c>
      <c r="G124" s="19" t="s">
        <v>747</v>
      </c>
      <c r="H124" s="19" t="n">
        <v>300</v>
      </c>
      <c r="I124" s="19" t="s">
        <v>172</v>
      </c>
      <c r="J124" s="20" t="s">
        <v>73</v>
      </c>
      <c r="K124" s="20"/>
      <c r="L124" s="19" t="s">
        <v>74</v>
      </c>
      <c r="M124" s="21"/>
      <c r="N124" s="19" t="s">
        <v>748</v>
      </c>
      <c r="O124" s="17" t="s">
        <v>749</v>
      </c>
      <c r="P124" s="17" t="s">
        <v>750</v>
      </c>
      <c r="Q124" s="19" t="s">
        <v>347</v>
      </c>
      <c r="R124" s="17" t="s">
        <v>751</v>
      </c>
    </row>
    <row r="125" customFormat="false" ht="19.5" hidden="false" customHeight="true" outlineLevel="0" collapsed="false">
      <c r="D125" s="14" t="s">
        <v>752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customFormat="false" ht="78" hidden="false" customHeight="true" outlineLevel="0" collapsed="false">
      <c r="D126" s="17" t="s">
        <v>753</v>
      </c>
      <c r="E126" s="18"/>
      <c r="F126" s="17" t="s">
        <v>754</v>
      </c>
      <c r="G126" s="19" t="s">
        <v>755</v>
      </c>
      <c r="H126" s="19" t="n">
        <v>300</v>
      </c>
      <c r="I126" s="19" t="s">
        <v>120</v>
      </c>
      <c r="J126" s="20" t="s">
        <v>73</v>
      </c>
      <c r="K126" s="20"/>
      <c r="L126" s="19" t="s">
        <v>74</v>
      </c>
      <c r="M126" s="21"/>
      <c r="N126" s="19" t="s">
        <v>756</v>
      </c>
      <c r="O126" s="17" t="s">
        <v>757</v>
      </c>
      <c r="P126" s="17" t="s">
        <v>758</v>
      </c>
      <c r="Q126" s="19" t="s">
        <v>78</v>
      </c>
      <c r="R126" s="17" t="s">
        <v>759</v>
      </c>
    </row>
    <row r="127" customFormat="false" ht="78" hidden="false" customHeight="true" outlineLevel="0" collapsed="false">
      <c r="D127" s="17" t="s">
        <v>760</v>
      </c>
      <c r="E127" s="22" t="s">
        <v>230</v>
      </c>
      <c r="F127" s="17" t="s">
        <v>761</v>
      </c>
      <c r="G127" s="19" t="s">
        <v>457</v>
      </c>
      <c r="H127" s="19" t="n">
        <v>300</v>
      </c>
      <c r="I127" s="19" t="s">
        <v>187</v>
      </c>
      <c r="J127" s="20" t="s">
        <v>73</v>
      </c>
      <c r="K127" s="20"/>
      <c r="L127" s="19" t="s">
        <v>762</v>
      </c>
      <c r="M127" s="21"/>
      <c r="N127" s="19" t="s">
        <v>763</v>
      </c>
      <c r="O127" s="17" t="s">
        <v>764</v>
      </c>
      <c r="P127" s="17" t="s">
        <v>765</v>
      </c>
      <c r="Q127" s="19" t="s">
        <v>78</v>
      </c>
      <c r="R127" s="17" t="s">
        <v>766</v>
      </c>
    </row>
    <row r="128" customFormat="false" ht="78" hidden="false" customHeight="true" outlineLevel="0" collapsed="false">
      <c r="D128" s="17" t="s">
        <v>767</v>
      </c>
      <c r="E128" s="18"/>
      <c r="F128" s="17" t="s">
        <v>768</v>
      </c>
      <c r="G128" s="19" t="s">
        <v>769</v>
      </c>
      <c r="H128" s="19" t="n">
        <v>300</v>
      </c>
      <c r="I128" s="19" t="s">
        <v>770</v>
      </c>
      <c r="J128" s="20" t="s">
        <v>73</v>
      </c>
      <c r="K128" s="20"/>
      <c r="L128" s="19" t="s">
        <v>74</v>
      </c>
      <c r="M128" s="21"/>
      <c r="N128" s="19" t="s">
        <v>771</v>
      </c>
      <c r="O128" s="17" t="s">
        <v>772</v>
      </c>
      <c r="P128" s="17" t="s">
        <v>773</v>
      </c>
      <c r="Q128" s="19" t="s">
        <v>347</v>
      </c>
      <c r="R128" s="17" t="s">
        <v>774</v>
      </c>
    </row>
    <row r="129" customFormat="false" ht="78" hidden="false" customHeight="true" outlineLevel="0" collapsed="false">
      <c r="D129" s="17" t="s">
        <v>775</v>
      </c>
      <c r="E129" s="18"/>
      <c r="F129" s="17" t="s">
        <v>776</v>
      </c>
      <c r="G129" s="19" t="s">
        <v>769</v>
      </c>
      <c r="H129" s="19" t="n">
        <v>300</v>
      </c>
      <c r="I129" s="19" t="s">
        <v>770</v>
      </c>
      <c r="J129" s="20" t="s">
        <v>73</v>
      </c>
      <c r="K129" s="20"/>
      <c r="L129" s="19" t="s">
        <v>74</v>
      </c>
      <c r="M129" s="21"/>
      <c r="N129" s="19" t="s">
        <v>771</v>
      </c>
      <c r="O129" s="17" t="s">
        <v>777</v>
      </c>
      <c r="P129" s="17" t="s">
        <v>778</v>
      </c>
      <c r="Q129" s="19" t="s">
        <v>347</v>
      </c>
      <c r="R129" s="17" t="s">
        <v>779</v>
      </c>
    </row>
    <row r="130" customFormat="false" ht="78" hidden="false" customHeight="true" outlineLevel="0" collapsed="false">
      <c r="D130" s="17" t="s">
        <v>780</v>
      </c>
      <c r="E130" s="18"/>
      <c r="F130" s="17" t="s">
        <v>781</v>
      </c>
      <c r="G130" s="19" t="s">
        <v>769</v>
      </c>
      <c r="H130" s="19" t="n">
        <v>300</v>
      </c>
      <c r="I130" s="19" t="s">
        <v>770</v>
      </c>
      <c r="J130" s="20" t="s">
        <v>73</v>
      </c>
      <c r="K130" s="20"/>
      <c r="L130" s="19" t="s">
        <v>74</v>
      </c>
      <c r="M130" s="21"/>
      <c r="N130" s="19" t="s">
        <v>771</v>
      </c>
      <c r="O130" s="17" t="s">
        <v>782</v>
      </c>
      <c r="P130" s="17" t="s">
        <v>783</v>
      </c>
      <c r="Q130" s="19" t="s">
        <v>347</v>
      </c>
      <c r="R130" s="17" t="s">
        <v>784</v>
      </c>
    </row>
    <row r="131" customFormat="false" ht="78" hidden="false" customHeight="true" outlineLevel="0" collapsed="false">
      <c r="D131" s="17" t="s">
        <v>785</v>
      </c>
      <c r="E131" s="22" t="s">
        <v>230</v>
      </c>
      <c r="F131" s="17" t="s">
        <v>786</v>
      </c>
      <c r="G131" s="19" t="s">
        <v>194</v>
      </c>
      <c r="H131" s="19" t="n">
        <v>300</v>
      </c>
      <c r="I131" s="19" t="s">
        <v>187</v>
      </c>
      <c r="J131" s="20" t="s">
        <v>73</v>
      </c>
      <c r="K131" s="20"/>
      <c r="L131" s="19" t="s">
        <v>74</v>
      </c>
      <c r="M131" s="21"/>
      <c r="N131" s="19" t="s">
        <v>787</v>
      </c>
      <c r="O131" s="17" t="s">
        <v>788</v>
      </c>
      <c r="P131" s="17" t="s">
        <v>789</v>
      </c>
      <c r="Q131" s="19" t="s">
        <v>347</v>
      </c>
      <c r="R131" s="17" t="s">
        <v>790</v>
      </c>
    </row>
    <row r="132" customFormat="false" ht="78" hidden="false" customHeight="true" outlineLevel="0" collapsed="false">
      <c r="D132" s="17" t="s">
        <v>791</v>
      </c>
      <c r="E132" s="18"/>
      <c r="F132" s="17" t="s">
        <v>792</v>
      </c>
      <c r="G132" s="19" t="s">
        <v>793</v>
      </c>
      <c r="H132" s="19" t="n">
        <v>300</v>
      </c>
      <c r="I132" s="19" t="s">
        <v>172</v>
      </c>
      <c r="J132" s="20" t="s">
        <v>73</v>
      </c>
      <c r="K132" s="20"/>
      <c r="L132" s="19" t="s">
        <v>74</v>
      </c>
      <c r="M132" s="21"/>
      <c r="N132" s="19" t="s">
        <v>794</v>
      </c>
      <c r="O132" s="17" t="s">
        <v>795</v>
      </c>
      <c r="P132" s="17" t="s">
        <v>796</v>
      </c>
      <c r="Q132" s="19" t="s">
        <v>347</v>
      </c>
      <c r="R132" s="17" t="s">
        <v>797</v>
      </c>
    </row>
    <row r="133" customFormat="false" ht="78" hidden="false" customHeight="true" outlineLevel="0" collapsed="false">
      <c r="D133" s="17" t="s">
        <v>798</v>
      </c>
      <c r="E133" s="18"/>
      <c r="F133" s="17" t="s">
        <v>799</v>
      </c>
      <c r="G133" s="19" t="s">
        <v>800</v>
      </c>
      <c r="H133" s="19" t="n">
        <v>300</v>
      </c>
      <c r="I133" s="19" t="s">
        <v>172</v>
      </c>
      <c r="J133" s="20" t="s">
        <v>73</v>
      </c>
      <c r="K133" s="20"/>
      <c r="L133" s="19" t="s">
        <v>74</v>
      </c>
      <c r="M133" s="21"/>
      <c r="N133" s="19" t="s">
        <v>801</v>
      </c>
      <c r="O133" s="17" t="s">
        <v>802</v>
      </c>
      <c r="P133" s="17" t="s">
        <v>803</v>
      </c>
      <c r="Q133" s="19" t="s">
        <v>347</v>
      </c>
      <c r="R133" s="17" t="s">
        <v>804</v>
      </c>
    </row>
  </sheetData>
  <conditionalFormatting sqref="J4:J133">
    <cfRule type="expression" priority="2" aboveAverage="0" equalAverage="0" bottom="0" percent="0" rank="0" text="" dxfId="0">
      <formula>$J4="Done"</formula>
    </cfRule>
    <cfRule type="expression" priority="3" aboveAverage="0" equalAverage="0" bottom="0" percent="0" rank="0" text="" dxfId="1">
      <formula>$J4="NonStart"</formula>
    </cfRule>
    <cfRule type="expression" priority="4" aboveAverage="0" equalAverage="0" bottom="0" percent="0" rank="0" text="" dxfId="2">
      <formula>$J4="In Progress"</formula>
    </cfRule>
    <cfRule type="expression" priority="5" aboveAverage="0" equalAverage="0" bottom="0" percent="0" rank="0" text="" dxfId="3">
      <formula>$J4="Fix"</formula>
    </cfRule>
    <cfRule type="expression" priority="6" aboveAverage="0" equalAverage="0" bottom="0" percent="0" rank="0" text="" dxfId="4">
      <formula>$J4="None"</formula>
    </cfRule>
  </conditionalFormatting>
  <dataValidations count="1">
    <dataValidation allowBlank="true" errorStyle="stop" operator="between" showDropDown="false" showErrorMessage="false" showInputMessage="false" sqref="J4:J17 J19:J76 J78:J105 J107:J124 J126:J133" type="list">
      <formula1>"NonStart,In Progress,Done,Fix,None"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2026-10-08T15:47:19Z</dcterms:created>
  <dc:creator>openpyxl</dc:creator>
  <dc:description/>
  <dc:language>en-US</dc:language>
  <cp:lastModifiedBy/>
  <dcterms:modified xsi:type="dcterms:W3CDTF">2026-10-08T15:47:22Z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